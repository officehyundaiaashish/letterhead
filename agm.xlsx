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20640" windowHeight="11760" activeTab="4"/>
  </bookViews>
  <sheets>
    <sheet name="Battery Data" sheetId="1" r:id="rId1"/>
    <sheet name="PHOTOS" sheetId="2" r:id="rId2"/>
    <sheet name="INVOICE, PWA, REJECTION REPORT" sheetId="3" r:id="rId3"/>
    <sheet name="NDMS Invoice, Sharing % " sheetId="4" r:id="rId4"/>
    <sheet name="Veh History" sheetId="5" r:id="rId5"/>
  </sheets>
  <calcPr calcId="124519"/>
</workbook>
</file>

<file path=xl/calcChain.xml><?xml version="1.0" encoding="utf-8"?>
<calcChain xmlns="http://schemas.openxmlformats.org/spreadsheetml/2006/main">
  <c r="W10" i="3"/>
  <c r="W9"/>
  <c r="W5"/>
  <c r="V9"/>
  <c r="V5"/>
  <c r="S3" i="4"/>
  <c r="S2"/>
  <c r="Q3"/>
  <c r="Q2"/>
  <c r="O3"/>
  <c r="O2"/>
  <c r="M4"/>
  <c r="W8" i="3"/>
  <c r="W7"/>
  <c r="W4"/>
  <c r="W3"/>
  <c r="Q4" i="4" l="1"/>
  <c r="S4"/>
  <c r="O4"/>
</calcChain>
</file>

<file path=xl/sharedStrings.xml><?xml version="1.0" encoding="utf-8"?>
<sst xmlns="http://schemas.openxmlformats.org/spreadsheetml/2006/main" count="312" uniqueCount="150">
  <si>
    <t>Failure Battery Data Details</t>
  </si>
  <si>
    <t>Description</t>
  </si>
  <si>
    <t>Details</t>
  </si>
  <si>
    <t>Model</t>
  </si>
  <si>
    <t>{model}</t>
  </si>
  <si>
    <t>Vin Number</t>
  </si>
  <si>
    <t>{vin_number}</t>
  </si>
  <si>
    <t>Sale Date</t>
  </si>
  <si>
    <t>{sale_date}</t>
  </si>
  <si>
    <t>Repair Date</t>
  </si>
  <si>
    <t>{repair_date}</t>
  </si>
  <si>
    <t>Mileage</t>
  </si>
  <si>
    <t>{mileage_km}</t>
  </si>
  <si>
    <t>Battery Spec(50 /60/65 AH)</t>
  </si>
  <si>
    <t>{battery_spec_ah}</t>
  </si>
  <si>
    <t>AGM Supplier Name (Delkor /Solite /Clarios)</t>
  </si>
  <si>
    <t>{agm_supplier_name}</t>
  </si>
  <si>
    <t>Battery Production Date</t>
  </si>
  <si>
    <t>{battery_production_date}</t>
  </si>
  <si>
    <t>Vehicle Received Date @ Dealer</t>
  </si>
  <si>
    <t>{vehicle_received_date}</t>
  </si>
  <si>
    <t>Dealer PDI Inspection Result</t>
  </si>
  <si>
    <t>Inspection Date</t>
  </si>
  <si>
    <t>{pdi_inspection_result}</t>
  </si>
  <si>
    <t>( Received Time)</t>
  </si>
  <si>
    <t>Voltage</t>
  </si>
  <si>
    <t>{pdi_voltage}</t>
  </si>
  <si>
    <t>CCA</t>
  </si>
  <si>
    <t>{pdi_cca}</t>
  </si>
  <si>
    <t>SOC</t>
  </si>
  <si>
    <t>{pdi_soc}</t>
  </si>
  <si>
    <t>Battery Analyser Result</t>
  </si>
  <si>
    <t>{analyser_voltage}</t>
  </si>
  <si>
    <t>{analyser_cca}</t>
  </si>
  <si>
    <t>{analyser_soc}</t>
  </si>
  <si>
    <t>Result</t>
  </si>
  <si>
    <t>{analyser_result}</t>
  </si>
  <si>
    <t>Result Slip</t>
  </si>
  <si>
    <t>{result_slip}</t>
  </si>
  <si>
    <t>Dealer Action</t>
  </si>
  <si>
    <t>Recharge /Replaced</t>
  </si>
  <si>
    <t>{dealer_action}</t>
  </si>
  <si>
    <t>Battery Availability @ Dealer End</t>
  </si>
  <si>
    <t>{battery_availability}</t>
  </si>
  <si>
    <t>Battery Defective Concern</t>
  </si>
  <si>
    <t>REGISTRATION PLATE PHOTO</t>
  </si>
  <si>
    <t>MILEAGE PHOTO</t>
  </si>
  <si>
    <t>VIN PHOTO</t>
  </si>
  <si>
    <t>DEFECTIVE BATTERY DETAILS (BATCH+SERIAL+SPEC)</t>
  </si>
  <si>
    <t>DEFECTIVE BATTERY MANUFACTURER NAME</t>
  </si>
  <si>
    <t>REPLACED BATTERY DETAILS (BATCH+SERIAL+SPEC)</t>
  </si>
  <si>
    <t>REPLACED BATTERY MANUFACTURER NAME</t>
  </si>
  <si>
    <t>VOLTAGE WITHOUT LOAD</t>
  </si>
  <si>
    <t>VOLTAGE WITH LOAD</t>
  </si>
  <si>
    <t>BOTH BATTERY PHOTOS WITH REG. PLATE</t>
  </si>
  <si>
    <t>VENDOR REJECTION REPORT / BATTERY TEST REPORT</t>
  </si>
  <si>
    <t>INVOICE</t>
  </si>
  <si>
    <t>ESTIMATION</t>
  </si>
  <si>
    <t>SI No.</t>
  </si>
  <si>
    <t>Part Number</t>
  </si>
  <si>
    <t>Part Description</t>
  </si>
  <si>
    <t>List Price</t>
  </si>
  <si>
    <t>Qty</t>
  </si>
  <si>
    <t>Amount (Without Tax)</t>
  </si>
  <si>
    <t>Total (With Tax)</t>
  </si>
  <si>
    <t>{si_no_1}</t>
  </si>
  <si>
    <t>{part_number_1}</t>
  </si>
  <si>
    <t>{part_description_1}</t>
  </si>
  <si>
    <t>{part_list_price_1}</t>
  </si>
  <si>
    <t>{part_qty_1}</t>
  </si>
  <si>
    <t>{part_amount_1}</t>
  </si>
  <si>
    <t>{part_number_2}</t>
  </si>
  <si>
    <t>{part_description_2}</t>
  </si>
  <si>
    <t>{part_list_price_2}</t>
  </si>
  <si>
    <t>{part_qty_2}</t>
  </si>
  <si>
    <t>{part_amount_2}</t>
  </si>
  <si>
    <t>Labour Code</t>
  </si>
  <si>
    <t>Labour Description</t>
  </si>
  <si>
    <t>{si_no_labour_1}</t>
  </si>
  <si>
    <t>{labour_code_1}</t>
  </si>
  <si>
    <t>{labour_description_1}</t>
  </si>
  <si>
    <t>{labour_list_price_1}</t>
  </si>
  <si>
    <t>{labour_qty_1}</t>
  </si>
  <si>
    <t>{labour_amount_1}</t>
  </si>
  <si>
    <t>{labour_code_2}</t>
  </si>
  <si>
    <t>{labour_description_2}</t>
  </si>
  <si>
    <t>{labour_list_price_2}</t>
  </si>
  <si>
    <t>{labour_qty_2}</t>
  </si>
  <si>
    <t>{labour_amount_2}</t>
  </si>
  <si>
    <t>Total Amount</t>
  </si>
  <si>
    <t>PWA REQUEST SCREEN</t>
  </si>
  <si>
    <t>Total cost with Tax</t>
  </si>
  <si>
    <t>HMIL Share %</t>
  </si>
  <si>
    <t>HMIL Share (Rs)</t>
  </si>
  <si>
    <t>Dealer Share (%)</t>
  </si>
  <si>
    <t>Dealer Share (Rs.)</t>
  </si>
  <si>
    <t>Cust. Share (%)</t>
  </si>
  <si>
    <t>Cust. Share (Rs.)</t>
  </si>
  <si>
    <t>Part</t>
  </si>
  <si>
    <t>{part_total_cost_with_tax}</t>
  </si>
  <si>
    <t>{hmil_share_pct_part}</t>
  </si>
  <si>
    <t>{dealer_share_pct_part}</t>
  </si>
  <si>
    <t>{customer_share_pct_part}</t>
  </si>
  <si>
    <t>Labour</t>
  </si>
  <si>
    <t>{labour_total_cost_with_tax}</t>
  </si>
  <si>
    <t>{hmil_share_pct_labour}</t>
  </si>
  <si>
    <t>{dealer_share_pct_labour}</t>
  </si>
  <si>
    <t>{customer_share_pct_labour}</t>
  </si>
  <si>
    <t>Total</t>
  </si>
  <si>
    <t>Vehicle History</t>
  </si>
  <si>
    <t>Sl No.</t>
  </si>
  <si>
    <t>Dealer No</t>
  </si>
  <si>
    <t>R/O No</t>
  </si>
  <si>
    <t>R/O Date</t>
  </si>
  <si>
    <t>VIN</t>
  </si>
  <si>
    <t>Work Type</t>
  </si>
  <si>
    <t>Reg. No</t>
  </si>
  <si>
    <t>Remarks</t>
  </si>
  <si>
    <t>{sl_no_1}</t>
  </si>
  <si>
    <t>{dealer_no}</t>
  </si>
  <si>
    <t>{ro_no}</t>
  </si>
  <si>
    <t>{ro_date}</t>
  </si>
  <si>
    <t>{vin}</t>
  </si>
  <si>
    <t>{mileage}</t>
  </si>
  <si>
    <t>{work_type}</t>
  </si>
  <si>
    <t>{reg_no}</t>
  </si>
  <si>
    <t>{remarks}</t>
  </si>
  <si>
    <t>{sl_no_2}</t>
  </si>
  <si>
    <t>{sl_no_3}</t>
  </si>
  <si>
    <t>{sl_no_4}</t>
  </si>
  <si>
    <t>{sl_no_5}</t>
  </si>
  <si>
    <t>{sl_no_6}</t>
  </si>
  <si>
    <t>{sl_no_7}</t>
  </si>
  <si>
    <t>{si_no_2}</t>
  </si>
  <si>
    <t>{sl_no_8}</t>
  </si>
  <si>
    <t>{si_no_labour_2}</t>
  </si>
  <si>
    <t>{sl_no_9}</t>
  </si>
  <si>
    <t>{sl_no_10}</t>
  </si>
  <si>
    <t>{sl_no_11}</t>
  </si>
  <si>
    <t>{sl_no_12}</t>
  </si>
  <si>
    <t>{sl_no_13}</t>
  </si>
  <si>
    <t>{sl_no_14}</t>
  </si>
  <si>
    <t>{sl_no_15}</t>
  </si>
  <si>
    <t>{sl_no_16}</t>
  </si>
  <si>
    <t>{sl_no_17}</t>
  </si>
  <si>
    <t>{sl_no_18}</t>
  </si>
  <si>
    <t>{sl_no_19}</t>
  </si>
  <si>
    <t>{sl_no_20}</t>
  </si>
  <si>
    <t>Total Part Amount (W/O, With Tax)</t>
  </si>
  <si>
    <t>Total Labour Amount (W/O, With Tax)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</si>
</sst>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rial"/>
      <family val="2"/>
    </font>
    <font>
      <sz val="18"/>
      <color theme="1"/>
      <name val="Aptos Narrow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sz val="9"/>
      <color rgb="FF4472C4"/>
      <name val="Arial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1F3864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9"/>
      <color rgb="FF1F3864"/>
      <name val="Calibri"/>
    </font>
    <font>
      <b/>
      <sz val="11"/>
      <color rgb="FF1F3864"/>
      <name val="Calibri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9" tint="0.79998168889431442"/>
        <bgColor rgb="FFE2EFD9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D6DCE4"/>
      </patternFill>
    </fill>
    <fill>
      <patternFill patternType="solid">
        <fgColor rgb="FFEAF4FB"/>
      </patternFill>
    </fill>
    <fill>
      <patternFill patternType="solid">
        <fgColor rgb="FFC9D9F0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5">
    <xf numFmtId="0" fontId="0" fillId="0" borderId="0"/>
    <xf numFmtId="43" fontId="1" fillId="0" borderId="0"/>
    <xf numFmtId="9" fontId="1" fillId="0" borderId="0"/>
    <xf numFmtId="0" fontId="4" fillId="0" borderId="0"/>
    <xf numFmtId="0" fontId="1" fillId="0" borderId="0"/>
  </cellStyleXfs>
  <cellXfs count="10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7" xfId="0" applyFont="1" applyFill="1" applyBorder="1"/>
    <xf numFmtId="0" fontId="2" fillId="2" borderId="6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/>
    <xf numFmtId="0" fontId="2" fillId="2" borderId="2" xfId="0" applyFont="1" applyFill="1" applyBorder="1"/>
    <xf numFmtId="0" fontId="2" fillId="2" borderId="4" xfId="0" applyFont="1" applyFill="1" applyBorder="1" applyAlignment="1">
      <alignment vertical="center" wrapText="1"/>
    </xf>
    <xf numFmtId="0" fontId="5" fillId="3" borderId="0" xfId="3" applyFont="1" applyFill="1" applyAlignment="1">
      <alignment vertical="center"/>
    </xf>
    <xf numFmtId="0" fontId="5" fillId="4" borderId="0" xfId="3" applyFont="1" applyFill="1" applyAlignment="1">
      <alignment vertical="center"/>
    </xf>
    <xf numFmtId="0" fontId="4" fillId="2" borderId="0" xfId="3" applyFill="1" applyAlignment="1">
      <alignment vertical="center"/>
    </xf>
    <xf numFmtId="0" fontId="5" fillId="3" borderId="6" xfId="3" applyFont="1" applyFill="1" applyBorder="1" applyAlignment="1">
      <alignment vertical="center"/>
    </xf>
    <xf numFmtId="0" fontId="5" fillId="3" borderId="7" xfId="3" applyFont="1" applyFill="1" applyBorder="1" applyAlignment="1">
      <alignment vertical="center"/>
    </xf>
    <xf numFmtId="0" fontId="5" fillId="3" borderId="8" xfId="3" applyFont="1" applyFill="1" applyBorder="1" applyAlignment="1">
      <alignment vertical="center"/>
    </xf>
    <xf numFmtId="0" fontId="5" fillId="3" borderId="9" xfId="3" applyFont="1" applyFill="1" applyBorder="1" applyAlignment="1">
      <alignment vertical="center"/>
    </xf>
    <xf numFmtId="0" fontId="5" fillId="3" borderId="2" xfId="3" applyFont="1" applyFill="1" applyBorder="1" applyAlignment="1">
      <alignment vertical="center"/>
    </xf>
    <xf numFmtId="0" fontId="0" fillId="2" borderId="0" xfId="0" applyFill="1"/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 wrapText="1"/>
    </xf>
    <xf numFmtId="0" fontId="9" fillId="6" borderId="17" xfId="3" applyFont="1" applyFill="1" applyBorder="1" applyAlignment="1">
      <alignment horizontal="center" vertical="center" wrapText="1"/>
    </xf>
    <xf numFmtId="0" fontId="12" fillId="9" borderId="25" xfId="0" applyFont="1" applyFill="1" applyBorder="1" applyAlignment="1">
      <alignment horizontal="center" vertical="center" wrapText="1"/>
    </xf>
    <xf numFmtId="0" fontId="11" fillId="8" borderId="25" xfId="0" applyFont="1" applyFill="1" applyBorder="1" applyAlignment="1">
      <alignment horizontal="center" vertical="center" wrapText="1"/>
    </xf>
    <xf numFmtId="0" fontId="15" fillId="8" borderId="25" xfId="4" applyFont="1" applyFill="1" applyBorder="1" applyAlignment="1">
      <alignment horizontal="center" vertical="center" wrapText="1"/>
    </xf>
    <xf numFmtId="0" fontId="19" fillId="9" borderId="25" xfId="0" applyFont="1" applyFill="1" applyBorder="1" applyAlignment="1">
      <alignment horizontal="center" vertical="center" wrapText="1"/>
    </xf>
    <xf numFmtId="4" fontId="20" fillId="10" borderId="25" xfId="4" applyNumberFormat="1" applyFont="1" applyFill="1" applyBorder="1" applyAlignment="1">
      <alignment horizontal="center" vertical="center" wrapText="1"/>
    </xf>
    <xf numFmtId="9" fontId="20" fillId="10" borderId="25" xfId="2" applyFont="1" applyFill="1" applyBorder="1" applyAlignment="1">
      <alignment horizontal="center" vertical="center" wrapText="1"/>
    </xf>
    <xf numFmtId="0" fontId="20" fillId="10" borderId="25" xfId="4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4" fontId="15" fillId="7" borderId="25" xfId="4" applyNumberFormat="1" applyFont="1" applyFill="1" applyBorder="1" applyAlignment="1">
      <alignment horizontal="center" vertical="center" wrapText="1"/>
    </xf>
    <xf numFmtId="0" fontId="15" fillId="7" borderId="25" xfId="4" applyFont="1" applyFill="1" applyBorder="1" applyAlignment="1">
      <alignment horizontal="center" vertical="center" wrapText="1"/>
    </xf>
    <xf numFmtId="0" fontId="14" fillId="10" borderId="25" xfId="0" applyFont="1" applyFill="1" applyBorder="1" applyAlignment="1">
      <alignment horizontal="center" vertical="center" wrapText="1"/>
    </xf>
    <xf numFmtId="14" fontId="14" fillId="10" borderId="25" xfId="0" applyNumberFormat="1" applyFont="1" applyFill="1" applyBorder="1" applyAlignment="1">
      <alignment horizontal="center" vertical="center" wrapText="1"/>
    </xf>
    <xf numFmtId="3" fontId="14" fillId="10" borderId="25" xfId="0" applyNumberFormat="1" applyFont="1" applyFill="1" applyBorder="1" applyAlignment="1">
      <alignment horizontal="center" vertical="center" wrapText="1"/>
    </xf>
    <xf numFmtId="0" fontId="11" fillId="8" borderId="27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3" fillId="10" borderId="10" xfId="0" applyFont="1" applyFill="1" applyBorder="1" applyAlignment="1">
      <alignment horizontal="center" vertical="center" wrapText="1"/>
    </xf>
    <xf numFmtId="14" fontId="13" fillId="10" borderId="10" xfId="0" applyNumberFormat="1" applyFont="1" applyFill="1" applyBorder="1" applyAlignment="1">
      <alignment horizontal="center" vertical="center" wrapText="1"/>
    </xf>
    <xf numFmtId="3" fontId="13" fillId="10" borderId="10" xfId="0" applyNumberFormat="1" applyFont="1" applyFill="1" applyBorder="1" applyAlignment="1">
      <alignment horizontal="center" vertical="center" wrapText="1"/>
    </xf>
    <xf numFmtId="0" fontId="12" fillId="9" borderId="28" xfId="0" applyFont="1" applyFill="1" applyBorder="1" applyAlignment="1">
      <alignment horizontal="center" vertical="center" wrapText="1"/>
    </xf>
    <xf numFmtId="0" fontId="14" fillId="10" borderId="28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2" fillId="11" borderId="10" xfId="0" applyFont="1" applyFill="1" applyBorder="1" applyAlignment="1">
      <alignment horizontal="center" vertical="center" wrapText="1"/>
    </xf>
    <xf numFmtId="0" fontId="16" fillId="8" borderId="10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horizontal="center" vertical="center" wrapText="1"/>
    </xf>
    <xf numFmtId="43" fontId="17" fillId="10" borderId="10" xfId="1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43" fontId="17" fillId="5" borderId="10" xfId="1" applyFont="1" applyFill="1" applyBorder="1" applyAlignment="1">
      <alignment horizontal="center" vertical="center" wrapText="1"/>
    </xf>
    <xf numFmtId="43" fontId="18" fillId="9" borderId="10" xfId="1" applyFont="1" applyFill="1" applyBorder="1" applyAlignment="1">
      <alignment horizontal="center" vertical="center" wrapText="1"/>
    </xf>
    <xf numFmtId="43" fontId="11" fillId="7" borderId="10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4" fontId="14" fillId="10" borderId="28" xfId="0" applyNumberFormat="1" applyFont="1" applyFill="1" applyBorder="1" applyAlignment="1">
      <alignment horizontal="center" vertical="center" wrapText="1"/>
    </xf>
    <xf numFmtId="3" fontId="14" fillId="10" borderId="28" xfId="0" applyNumberFormat="1" applyFont="1" applyFill="1" applyBorder="1" applyAlignment="1">
      <alignment horizontal="center" vertical="center" wrapText="1"/>
    </xf>
    <xf numFmtId="43" fontId="18" fillId="9" borderId="10" xfId="1" applyFont="1" applyFill="1" applyBorder="1" applyAlignment="1">
      <alignment vertical="center" wrapText="1"/>
    </xf>
    <xf numFmtId="0" fontId="12" fillId="11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 wrapText="1"/>
    </xf>
    <xf numFmtId="0" fontId="11" fillId="8" borderId="2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5" fillId="8" borderId="1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9" fillId="6" borderId="17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5" fillId="7" borderId="15" xfId="3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8" fillId="9" borderId="10" xfId="0" applyFont="1" applyFill="1" applyBorder="1" applyAlignment="1">
      <alignment horizontal="center" vertical="center" wrapText="1"/>
    </xf>
    <xf numFmtId="0" fontId="15" fillId="7" borderId="6" xfId="3" applyFont="1" applyFill="1" applyBorder="1" applyAlignment="1">
      <alignment horizontal="center" vertical="center" wrapText="1"/>
    </xf>
    <xf numFmtId="0" fontId="15" fillId="7" borderId="0" xfId="3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2" xfId="0" applyBorder="1"/>
  </cellXfs>
  <cellStyles count="5">
    <cellStyle name="Comma" xfId="1" builtinId="3"/>
    <cellStyle name="Normal" xfId="0" builtinId="0"/>
    <cellStyle name="Normal 2" xfId="4"/>
    <cellStyle name="Normal 3" xfId="3"/>
    <cellStyle name="Percent" xfId="2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5</xdr:col>
      <xdr:colOff>0</xdr:colOff>
      <xdr:row>15</xdr:row>
      <xdr:rowOff>0</xdr:rowOff>
    </xdr:to>
    <xdr:pic>
      <xdr:nvPicPr>
        <xdr:cNvPr id="2" name="Photo_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65895" cy="25146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9</xdr:col>
      <xdr:colOff>0</xdr:colOff>
      <xdr:row>15</xdr:row>
      <xdr:rowOff>0</xdr:rowOff>
    </xdr:to>
    <xdr:pic>
      <xdr:nvPicPr>
        <xdr:cNvPr id="3" name="Photo_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390899" cy="251460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13</xdr:col>
      <xdr:colOff>0</xdr:colOff>
      <xdr:row>15</xdr:row>
      <xdr:rowOff>0</xdr:rowOff>
    </xdr:to>
    <xdr:pic>
      <xdr:nvPicPr>
        <xdr:cNvPr id="4" name="Photo_3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3357560" cy="25146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306916</xdr:rowOff>
    </xdr:from>
    <xdr:to>
      <xdr:col>5</xdr:col>
      <xdr:colOff>0</xdr:colOff>
      <xdr:row>27</xdr:row>
      <xdr:rowOff>232833</xdr:rowOff>
    </xdr:to>
    <xdr:pic>
      <xdr:nvPicPr>
        <xdr:cNvPr id="5" name="Photo_4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667" y="4254499"/>
          <a:ext cx="3884083" cy="2561167"/>
        </a:xfrm>
        <a:prstGeom prst="rect">
          <a:avLst/>
        </a:prstGeom>
      </xdr:spPr>
    </xdr:pic>
    <xdr:clientData/>
  </xdr:twoCellAnchor>
  <xdr:twoCellAnchor>
    <xdr:from>
      <xdr:col>4</xdr:col>
      <xdr:colOff>1026584</xdr:colOff>
      <xdr:row>17</xdr:row>
      <xdr:rowOff>10583</xdr:rowOff>
    </xdr:from>
    <xdr:to>
      <xdr:col>8</xdr:col>
      <xdr:colOff>994834</xdr:colOff>
      <xdr:row>28</xdr:row>
      <xdr:rowOff>0</xdr:rowOff>
    </xdr:to>
    <xdr:pic>
      <xdr:nvPicPr>
        <xdr:cNvPr id="6" name="Photo_5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12167" y="4265083"/>
          <a:ext cx="3926417" cy="2550584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16</xdr:row>
      <xdr:rowOff>306916</xdr:rowOff>
    </xdr:from>
    <xdr:to>
      <xdr:col>13</xdr:col>
      <xdr:colOff>0</xdr:colOff>
      <xdr:row>27</xdr:row>
      <xdr:rowOff>232833</xdr:rowOff>
    </xdr:to>
    <xdr:pic>
      <xdr:nvPicPr>
        <xdr:cNvPr id="7" name="Photo_6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49167" y="4254499"/>
          <a:ext cx="3619500" cy="2561167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17</xdr:row>
      <xdr:rowOff>10583</xdr:rowOff>
    </xdr:from>
    <xdr:to>
      <xdr:col>17</xdr:col>
      <xdr:colOff>0</xdr:colOff>
      <xdr:row>28</xdr:row>
      <xdr:rowOff>31750</xdr:rowOff>
    </xdr:to>
    <xdr:pic>
      <xdr:nvPicPr>
        <xdr:cNvPr id="8" name="Photo_7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68667" y="4265083"/>
          <a:ext cx="3947583" cy="258233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5</xdr:col>
      <xdr:colOff>0</xdr:colOff>
      <xdr:row>41</xdr:row>
      <xdr:rowOff>0</xdr:rowOff>
    </xdr:to>
    <xdr:pic>
      <xdr:nvPicPr>
        <xdr:cNvPr id="9" name="Photo_8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8667" y="7366000"/>
          <a:ext cx="3884083" cy="2561167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9</xdr:col>
      <xdr:colOff>0</xdr:colOff>
      <xdr:row>40</xdr:row>
      <xdr:rowOff>201084</xdr:rowOff>
    </xdr:to>
    <xdr:pic>
      <xdr:nvPicPr>
        <xdr:cNvPr id="10" name="Photo_9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22750" y="7366000"/>
          <a:ext cx="3926417" cy="2529417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13</xdr:col>
      <xdr:colOff>0</xdr:colOff>
      <xdr:row>40</xdr:row>
      <xdr:rowOff>222250</xdr:rowOff>
    </xdr:to>
    <xdr:pic>
      <xdr:nvPicPr>
        <xdr:cNvPr id="11" name="Photo_10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49167" y="7366000"/>
          <a:ext cx="3619500" cy="25505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32420</xdr:colOff>
      <xdr:row>0</xdr:row>
      <xdr:rowOff>317886</xdr:rowOff>
    </xdr:from>
    <xdr:to>
      <xdr:col>7</xdr:col>
      <xdr:colOff>0</xdr:colOff>
      <xdr:row>32</xdr:row>
      <xdr:rowOff>144340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189" y="801463"/>
          <a:ext cx="4839984" cy="58733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339400</xdr:colOff>
      <xdr:row>1</xdr:row>
      <xdr:rowOff>8539</xdr:rowOff>
    </xdr:from>
    <xdr:to>
      <xdr:col>14</xdr:col>
      <xdr:colOff>672353</xdr:colOff>
      <xdr:row>32</xdr:row>
      <xdr:rowOff>152400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1694" y="804157"/>
          <a:ext cx="4860130" cy="574007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15</xdr:col>
      <xdr:colOff>0</xdr:colOff>
      <xdr:row>55</xdr:row>
      <xdr:rowOff>0</xdr:rowOff>
    </xdr:to>
    <xdr:pic>
      <xdr:nvPicPr>
        <xdr:cNvPr id="6" name="PWA_Screen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548807" cy="34461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623455</xdr:rowOff>
    </xdr:from>
    <xdr:to>
      <xdr:col>9</xdr:col>
      <xdr:colOff>675975</xdr:colOff>
      <xdr:row>52</xdr:row>
      <xdr:rowOff>169025</xdr:rowOff>
    </xdr:to>
    <xdr:pic>
      <xdr:nvPicPr>
        <xdr:cNvPr id="2" name="Picture 1" descr="SM_S8213_B202521938_page-000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3455"/>
          <a:ext cx="6910520" cy="981525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24"/>
  <sheetViews>
    <sheetView workbookViewId="0">
      <selection activeCell="B17" sqref="B17:B21"/>
    </sheetView>
  </sheetViews>
  <sheetFormatPr defaultRowHeight="14.25"/>
  <cols>
    <col min="1" max="1" width="2" customWidth="1"/>
    <col min="2" max="2" width="32" customWidth="1"/>
    <col min="3" max="3" width="22" customWidth="1"/>
    <col min="4" max="4" width="28" customWidth="1"/>
    <col min="5" max="5" width="2" customWidth="1"/>
  </cols>
  <sheetData>
    <row r="1" spans="2:4" ht="21.95" customHeight="1" thickBot="1"/>
    <row r="2" spans="2:4" ht="30" customHeight="1" thickBot="1">
      <c r="B2" s="71" t="s">
        <v>0</v>
      </c>
      <c r="C2" s="72"/>
      <c r="D2" s="73"/>
    </row>
    <row r="3" spans="2:4" ht="20.100000000000001" customHeight="1">
      <c r="B3" s="75" t="s">
        <v>1</v>
      </c>
      <c r="C3" s="76"/>
      <c r="D3" s="47" t="s">
        <v>2</v>
      </c>
    </row>
    <row r="4" spans="2:4" ht="21.95" customHeight="1">
      <c r="B4" s="70" t="s">
        <v>3</v>
      </c>
      <c r="C4" s="69"/>
      <c r="D4" s="48" t="s">
        <v>4</v>
      </c>
    </row>
    <row r="5" spans="2:4" ht="21.95" customHeight="1">
      <c r="B5" s="70" t="s">
        <v>5</v>
      </c>
      <c r="C5" s="69"/>
      <c r="D5" s="48" t="s">
        <v>6</v>
      </c>
    </row>
    <row r="6" spans="2:4" ht="21.95" customHeight="1">
      <c r="B6" s="70" t="s">
        <v>7</v>
      </c>
      <c r="C6" s="69"/>
      <c r="D6" s="49" t="s">
        <v>8</v>
      </c>
    </row>
    <row r="7" spans="2:4" ht="21.95" customHeight="1">
      <c r="B7" s="70" t="s">
        <v>9</v>
      </c>
      <c r="C7" s="69"/>
      <c r="D7" s="49" t="s">
        <v>10</v>
      </c>
    </row>
    <row r="8" spans="2:4" ht="21.95" customHeight="1">
      <c r="B8" s="70" t="s">
        <v>11</v>
      </c>
      <c r="C8" s="69"/>
      <c r="D8" s="50" t="s">
        <v>12</v>
      </c>
    </row>
    <row r="9" spans="2:4" ht="21.95" customHeight="1">
      <c r="B9" s="67" t="s">
        <v>13</v>
      </c>
      <c r="C9" s="69"/>
      <c r="D9" s="48" t="s">
        <v>14</v>
      </c>
    </row>
    <row r="10" spans="2:4" ht="21.95" customHeight="1">
      <c r="B10" s="67" t="s">
        <v>15</v>
      </c>
      <c r="C10" s="69"/>
      <c r="D10" s="48" t="s">
        <v>16</v>
      </c>
    </row>
    <row r="11" spans="2:4" ht="21.95" customHeight="1">
      <c r="B11" s="67" t="s">
        <v>17</v>
      </c>
      <c r="C11" s="69"/>
      <c r="D11" s="49" t="s">
        <v>18</v>
      </c>
    </row>
    <row r="12" spans="2:4" ht="21.95" customHeight="1">
      <c r="B12" s="67" t="s">
        <v>19</v>
      </c>
      <c r="C12" s="69"/>
      <c r="D12" s="49" t="s">
        <v>20</v>
      </c>
    </row>
    <row r="13" spans="2:4" ht="24" customHeight="1">
      <c r="B13" s="46" t="s">
        <v>21</v>
      </c>
      <c r="C13" s="46" t="s">
        <v>22</v>
      </c>
      <c r="D13" s="46" t="s">
        <v>23</v>
      </c>
    </row>
    <row r="14" spans="2:4" ht="21.95" customHeight="1">
      <c r="B14" s="33" t="s">
        <v>24</v>
      </c>
      <c r="C14" s="33" t="s">
        <v>25</v>
      </c>
      <c r="D14" s="43" t="s">
        <v>26</v>
      </c>
    </row>
    <row r="15" spans="2:4" ht="21.95" customHeight="1">
      <c r="B15" s="33"/>
      <c r="C15" s="33" t="s">
        <v>27</v>
      </c>
      <c r="D15" s="43" t="s">
        <v>28</v>
      </c>
    </row>
    <row r="16" spans="2:4" ht="21.95" customHeight="1">
      <c r="B16" s="51"/>
      <c r="C16" s="51" t="s">
        <v>29</v>
      </c>
      <c r="D16" s="52" t="s">
        <v>30</v>
      </c>
    </row>
    <row r="17" spans="2:4" ht="24" customHeight="1">
      <c r="B17" s="74" t="s">
        <v>31</v>
      </c>
      <c r="C17" s="47" t="s">
        <v>25</v>
      </c>
      <c r="D17" s="47" t="s">
        <v>32</v>
      </c>
    </row>
    <row r="18" spans="2:4" ht="21.95" customHeight="1">
      <c r="B18" s="70"/>
      <c r="C18" s="53" t="s">
        <v>27</v>
      </c>
      <c r="D18" s="54" t="s">
        <v>33</v>
      </c>
    </row>
    <row r="19" spans="2:4" ht="21.95" customHeight="1">
      <c r="B19" s="70"/>
      <c r="C19" s="53" t="s">
        <v>29</v>
      </c>
      <c r="D19" s="54" t="s">
        <v>34</v>
      </c>
    </row>
    <row r="20" spans="2:4" ht="21.95" customHeight="1">
      <c r="B20" s="70"/>
      <c r="C20" s="53" t="s">
        <v>35</v>
      </c>
      <c r="D20" s="54" t="s">
        <v>36</v>
      </c>
    </row>
    <row r="21" spans="2:4" ht="21.95" customHeight="1">
      <c r="B21" s="70"/>
      <c r="C21" s="53" t="s">
        <v>37</v>
      </c>
      <c r="D21" s="54" t="s">
        <v>38</v>
      </c>
    </row>
    <row r="22" spans="2:4" ht="21.95" customHeight="1">
      <c r="B22" s="55" t="s">
        <v>39</v>
      </c>
      <c r="C22" s="55" t="s">
        <v>40</v>
      </c>
      <c r="D22" s="54" t="s">
        <v>41</v>
      </c>
    </row>
    <row r="23" spans="2:4" ht="21.95" customHeight="1">
      <c r="B23" s="67" t="s">
        <v>42</v>
      </c>
      <c r="C23" s="68"/>
      <c r="D23" s="54" t="s">
        <v>43</v>
      </c>
    </row>
    <row r="24" spans="2:4" ht="21.95" customHeight="1"/>
  </sheetData>
  <mergeCells count="13">
    <mergeCell ref="B23:C23"/>
    <mergeCell ref="B9:C9"/>
    <mergeCell ref="B8:C8"/>
    <mergeCell ref="B4:C4"/>
    <mergeCell ref="B2:D2"/>
    <mergeCell ref="B12:C12"/>
    <mergeCell ref="B6:C6"/>
    <mergeCell ref="B7:C7"/>
    <mergeCell ref="B11:C11"/>
    <mergeCell ref="B17:B21"/>
    <mergeCell ref="B3:C3"/>
    <mergeCell ref="B5:C5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</sheetPr>
  <dimension ref="B1:Q41"/>
  <sheetViews>
    <sheetView zoomScale="40" zoomScaleNormal="40" workbookViewId="0">
      <selection activeCell="F44" sqref="F44"/>
    </sheetView>
  </sheetViews>
  <sheetFormatPr defaultColWidth="12.875" defaultRowHeight="19.5" customHeight="1"/>
  <cols>
    <col min="1" max="1" width="4.375" style="1" customWidth="1"/>
    <col min="2" max="3" width="11.375" style="1" customWidth="1"/>
    <col min="4" max="4" width="14.625" style="2" customWidth="1"/>
    <col min="5" max="5" width="13.625" style="1" customWidth="1"/>
    <col min="6" max="6" width="15.5" style="1" customWidth="1"/>
    <col min="7" max="8" width="11.375" style="1" customWidth="1"/>
    <col min="9" max="9" width="13.125" style="1" customWidth="1"/>
    <col min="10" max="10" width="7.125" style="1" customWidth="1"/>
    <col min="11" max="11" width="12.875" style="1" customWidth="1"/>
    <col min="12" max="12" width="14.625" style="1" customWidth="1"/>
    <col min="13" max="13" width="12.875" style="1" customWidth="1"/>
    <col min="14" max="14" width="13" style="1" customWidth="1"/>
    <col min="15" max="15" width="12.875" style="1" customWidth="1"/>
    <col min="16" max="16384" width="12.875" style="1"/>
  </cols>
  <sheetData>
    <row r="1" spans="2:13" ht="19.5" customHeight="1" thickBot="1"/>
    <row r="2" spans="2:13" ht="27.95" customHeight="1" thickBot="1">
      <c r="B2" s="77" t="s">
        <v>44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3" ht="19.5" customHeight="1" thickBo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3" ht="24" customHeight="1" thickBot="1">
      <c r="B4" s="80" t="s">
        <v>45</v>
      </c>
      <c r="C4" s="78"/>
      <c r="D4" s="78"/>
      <c r="E4" s="79"/>
      <c r="F4" s="80" t="s">
        <v>46</v>
      </c>
      <c r="G4" s="78"/>
      <c r="H4" s="78"/>
      <c r="I4" s="79"/>
      <c r="J4" s="80" t="s">
        <v>47</v>
      </c>
      <c r="K4" s="78"/>
      <c r="L4" s="78"/>
      <c r="M4" s="79"/>
    </row>
    <row r="5" spans="2:13" ht="18" customHeight="1">
      <c r="B5" s="84"/>
      <c r="C5" s="85"/>
      <c r="D5" s="85"/>
      <c r="E5" s="86"/>
      <c r="F5" s="31"/>
      <c r="G5" s="4"/>
      <c r="H5" s="4"/>
      <c r="I5" s="5"/>
      <c r="J5" s="84"/>
      <c r="K5" s="85"/>
      <c r="L5" s="85"/>
      <c r="M5" s="86"/>
    </row>
    <row r="6" spans="2:13" ht="18" customHeight="1">
      <c r="B6" s="87"/>
      <c r="C6" s="83"/>
      <c r="D6" s="82"/>
      <c r="E6" s="88"/>
      <c r="F6" s="6"/>
      <c r="G6" s="6"/>
      <c r="H6" s="6"/>
      <c r="I6" s="7"/>
      <c r="J6" s="87"/>
      <c r="K6" s="83"/>
      <c r="L6" s="83"/>
      <c r="M6" s="88"/>
    </row>
    <row r="7" spans="2:13" ht="18" customHeight="1">
      <c r="B7" s="87"/>
      <c r="C7" s="83"/>
      <c r="D7" s="82"/>
      <c r="E7" s="88"/>
      <c r="F7" s="6"/>
      <c r="G7" s="6"/>
      <c r="H7" s="6"/>
      <c r="I7" s="7"/>
      <c r="J7" s="87"/>
      <c r="K7" s="83"/>
      <c r="L7" s="83"/>
      <c r="M7" s="88"/>
    </row>
    <row r="8" spans="2:13" ht="18" customHeight="1">
      <c r="B8" s="87"/>
      <c r="C8" s="83"/>
      <c r="D8" s="82"/>
      <c r="E8" s="88"/>
      <c r="F8" s="6"/>
      <c r="G8" s="6"/>
      <c r="H8" s="6"/>
      <c r="I8" s="7"/>
      <c r="J8" s="87"/>
      <c r="K8" s="83"/>
      <c r="L8" s="83"/>
      <c r="M8" s="88"/>
    </row>
    <row r="9" spans="2:13" ht="18" customHeight="1">
      <c r="B9" s="87"/>
      <c r="C9" s="83"/>
      <c r="D9" s="82"/>
      <c r="E9" s="88"/>
      <c r="F9" s="6"/>
      <c r="G9" s="6"/>
      <c r="H9" s="6"/>
      <c r="I9" s="7"/>
      <c r="J9" s="87"/>
      <c r="K9" s="83"/>
      <c r="L9" s="83"/>
      <c r="M9" s="88"/>
    </row>
    <row r="10" spans="2:13" ht="18" customHeight="1">
      <c r="B10" s="87"/>
      <c r="C10" s="83"/>
      <c r="D10" s="82"/>
      <c r="E10" s="88"/>
      <c r="F10" s="6"/>
      <c r="G10" s="6"/>
      <c r="H10" s="6"/>
      <c r="I10" s="7"/>
      <c r="J10" s="87"/>
      <c r="K10" s="83"/>
      <c r="L10" s="83"/>
      <c r="M10" s="88"/>
    </row>
    <row r="11" spans="2:13" ht="18" customHeight="1">
      <c r="B11" s="87"/>
      <c r="C11" s="83"/>
      <c r="D11" s="82"/>
      <c r="E11" s="88"/>
      <c r="F11" s="6"/>
      <c r="G11" s="6"/>
      <c r="H11" s="6"/>
      <c r="I11" s="7"/>
      <c r="J11" s="87"/>
      <c r="K11" s="83"/>
      <c r="L11" s="83"/>
      <c r="M11" s="88"/>
    </row>
    <row r="12" spans="2:13" ht="18" customHeight="1">
      <c r="B12" s="87"/>
      <c r="C12" s="83"/>
      <c r="D12" s="82"/>
      <c r="E12" s="88"/>
      <c r="F12" s="6"/>
      <c r="G12" s="6"/>
      <c r="H12" s="6"/>
      <c r="I12" s="7"/>
      <c r="J12" s="87"/>
      <c r="K12" s="83"/>
      <c r="L12" s="83"/>
      <c r="M12" s="88"/>
    </row>
    <row r="13" spans="2:13" ht="18" customHeight="1">
      <c r="B13" s="87"/>
      <c r="C13" s="83"/>
      <c r="D13" s="82"/>
      <c r="E13" s="88"/>
      <c r="F13" s="6"/>
      <c r="G13" s="6"/>
      <c r="H13" s="6"/>
      <c r="I13" s="7"/>
      <c r="J13" s="87"/>
      <c r="K13" s="83"/>
      <c r="L13" s="83"/>
      <c r="M13" s="88"/>
    </row>
    <row r="14" spans="2:13" ht="18" customHeight="1">
      <c r="B14" s="87"/>
      <c r="C14" s="83"/>
      <c r="D14" s="82"/>
      <c r="E14" s="88"/>
      <c r="F14" s="6"/>
      <c r="G14" s="6"/>
      <c r="H14" s="6"/>
      <c r="I14" s="7"/>
      <c r="J14" s="87"/>
      <c r="K14" s="83"/>
      <c r="L14" s="83"/>
      <c r="M14" s="88"/>
    </row>
    <row r="15" spans="2:13" ht="18" customHeight="1" thickBot="1">
      <c r="B15" s="89"/>
      <c r="C15" s="90"/>
      <c r="D15" s="90"/>
      <c r="E15" s="91"/>
      <c r="F15" s="8"/>
      <c r="G15" s="8"/>
      <c r="H15" s="8"/>
      <c r="I15" s="9"/>
      <c r="J15" s="89"/>
      <c r="K15" s="90"/>
      <c r="L15" s="90"/>
      <c r="M15" s="91"/>
    </row>
    <row r="16" spans="2:13" ht="19.5" customHeight="1" thickBot="1">
      <c r="B16" s="30"/>
      <c r="C16" s="30"/>
      <c r="D16" s="30"/>
      <c r="E16" s="30"/>
      <c r="F16" s="6"/>
      <c r="G16" s="6"/>
      <c r="H16" s="6"/>
      <c r="I16" s="6"/>
      <c r="J16" s="30"/>
      <c r="K16" s="30"/>
      <c r="L16" s="30"/>
      <c r="M16" s="30"/>
    </row>
    <row r="17" spans="2:17" ht="24" customHeight="1" thickBot="1">
      <c r="B17" s="80" t="s">
        <v>48</v>
      </c>
      <c r="C17" s="78"/>
      <c r="D17" s="78"/>
      <c r="E17" s="79"/>
      <c r="F17" s="80" t="s">
        <v>49</v>
      </c>
      <c r="G17" s="78"/>
      <c r="H17" s="78"/>
      <c r="I17" s="79"/>
      <c r="J17" s="80" t="s">
        <v>50</v>
      </c>
      <c r="K17" s="78"/>
      <c r="L17" s="78"/>
      <c r="M17" s="79"/>
      <c r="N17" s="80" t="s">
        <v>51</v>
      </c>
      <c r="O17" s="78"/>
      <c r="P17" s="78"/>
      <c r="Q17" s="79"/>
    </row>
    <row r="18" spans="2:17" ht="18" customHeight="1">
      <c r="B18" s="31"/>
      <c r="C18" s="4"/>
      <c r="D18" s="4"/>
      <c r="E18" s="5"/>
      <c r="F18" s="31"/>
      <c r="G18" s="6"/>
      <c r="H18" s="6"/>
      <c r="I18" s="7"/>
      <c r="J18" s="31"/>
      <c r="M18" s="10"/>
      <c r="N18" s="31"/>
      <c r="Q18" s="10"/>
    </row>
    <row r="19" spans="2:17" ht="18" customHeight="1">
      <c r="B19" s="11"/>
      <c r="C19" s="6"/>
      <c r="D19" s="6"/>
      <c r="E19" s="7"/>
      <c r="F19" s="6"/>
      <c r="G19" s="6"/>
      <c r="H19" s="6"/>
      <c r="I19" s="7"/>
      <c r="M19" s="10"/>
      <c r="Q19" s="10"/>
    </row>
    <row r="20" spans="2:17" ht="18" customHeight="1">
      <c r="B20" s="11"/>
      <c r="C20" s="6"/>
      <c r="D20" s="6"/>
      <c r="E20" s="7"/>
      <c r="F20" s="6"/>
      <c r="G20" s="6"/>
      <c r="H20" s="6"/>
      <c r="I20" s="7"/>
      <c r="M20" s="10"/>
      <c r="Q20" s="10"/>
    </row>
    <row r="21" spans="2:17" ht="18" customHeight="1">
      <c r="B21" s="11"/>
      <c r="C21" s="6"/>
      <c r="D21" s="6"/>
      <c r="E21" s="7"/>
      <c r="F21" s="6"/>
      <c r="G21" s="6"/>
      <c r="H21" s="6"/>
      <c r="I21" s="7"/>
      <c r="M21" s="10"/>
      <c r="Q21" s="10"/>
    </row>
    <row r="22" spans="2:17" ht="18" customHeight="1">
      <c r="B22" s="11"/>
      <c r="C22" s="81"/>
      <c r="D22" s="82"/>
      <c r="E22" s="7"/>
      <c r="F22" s="6"/>
      <c r="G22" s="6"/>
      <c r="H22" s="6"/>
      <c r="I22" s="7"/>
      <c r="M22" s="10"/>
      <c r="Q22" s="10"/>
    </row>
    <row r="23" spans="2:17" ht="18" customHeight="1">
      <c r="B23" s="11"/>
      <c r="C23" s="83"/>
      <c r="D23" s="82"/>
      <c r="E23" s="7"/>
      <c r="F23" s="6"/>
      <c r="G23" s="30"/>
      <c r="H23" s="6"/>
      <c r="I23" s="7"/>
      <c r="M23" s="10"/>
      <c r="Q23" s="10"/>
    </row>
    <row r="24" spans="2:17" ht="18" customHeight="1">
      <c r="B24" s="11"/>
      <c r="C24" s="6"/>
      <c r="D24" s="12"/>
      <c r="E24" s="7"/>
      <c r="F24" s="6"/>
      <c r="G24" s="6"/>
      <c r="H24" s="6"/>
      <c r="I24" s="7"/>
      <c r="M24" s="10"/>
      <c r="Q24" s="10"/>
    </row>
    <row r="25" spans="2:17" ht="18" customHeight="1">
      <c r="B25" s="11"/>
      <c r="C25" s="6"/>
      <c r="D25" s="12"/>
      <c r="E25" s="7"/>
      <c r="F25" s="6"/>
      <c r="G25" s="6"/>
      <c r="H25" s="6"/>
      <c r="I25" s="7"/>
      <c r="M25" s="10"/>
      <c r="Q25" s="10"/>
    </row>
    <row r="26" spans="2:17" ht="18" customHeight="1">
      <c r="B26" s="11"/>
      <c r="C26" s="6"/>
      <c r="D26" s="12"/>
      <c r="E26" s="7"/>
      <c r="F26" s="6"/>
      <c r="G26" s="6"/>
      <c r="H26" s="6"/>
      <c r="I26" s="7"/>
      <c r="M26" s="10"/>
      <c r="Q26" s="10"/>
    </row>
    <row r="27" spans="2:17" ht="18" customHeight="1">
      <c r="B27" s="11"/>
      <c r="C27" s="6"/>
      <c r="D27" s="12"/>
      <c r="E27" s="7"/>
      <c r="F27" s="6"/>
      <c r="G27" s="6"/>
      <c r="H27" s="6"/>
      <c r="I27" s="7"/>
      <c r="M27" s="10"/>
      <c r="Q27" s="10"/>
    </row>
    <row r="28" spans="2:17" ht="18" customHeight="1" thickBot="1">
      <c r="B28" s="13"/>
      <c r="C28" s="8"/>
      <c r="D28" s="14"/>
      <c r="E28" s="9"/>
      <c r="F28" s="8"/>
      <c r="G28" s="8"/>
      <c r="H28" s="8"/>
      <c r="I28" s="9"/>
      <c r="J28" s="15"/>
      <c r="K28" s="15"/>
      <c r="L28" s="15"/>
      <c r="M28" s="16"/>
      <c r="N28" s="15"/>
      <c r="O28" s="15"/>
      <c r="P28" s="15"/>
      <c r="Q28" s="16"/>
    </row>
    <row r="29" spans="2:17" ht="19.5" customHeight="1" thickBot="1">
      <c r="B29" s="6"/>
      <c r="C29" s="6"/>
      <c r="D29" s="12"/>
      <c r="E29" s="6"/>
      <c r="F29" s="6"/>
      <c r="G29" s="6"/>
      <c r="H29" s="6"/>
      <c r="I29" s="6"/>
    </row>
    <row r="30" spans="2:17" ht="24" customHeight="1" thickBot="1">
      <c r="B30" s="80" t="s">
        <v>52</v>
      </c>
      <c r="C30" s="78"/>
      <c r="D30" s="78"/>
      <c r="E30" s="79"/>
      <c r="F30" s="80" t="s">
        <v>53</v>
      </c>
      <c r="G30" s="78"/>
      <c r="H30" s="78"/>
      <c r="I30" s="79"/>
      <c r="J30" s="80" t="s">
        <v>54</v>
      </c>
      <c r="K30" s="78"/>
      <c r="L30" s="78"/>
      <c r="M30" s="79"/>
    </row>
    <row r="31" spans="2:17" ht="18" customHeight="1">
      <c r="B31" s="31"/>
      <c r="C31" s="4"/>
      <c r="D31" s="17"/>
      <c r="E31" s="5"/>
      <c r="F31" s="31"/>
      <c r="G31" s="6"/>
      <c r="H31" s="6"/>
      <c r="I31" s="7"/>
      <c r="J31" s="31"/>
      <c r="M31" s="10"/>
    </row>
    <row r="32" spans="2:17" ht="18" customHeight="1">
      <c r="B32" s="11"/>
      <c r="C32" s="6"/>
      <c r="D32" s="12"/>
      <c r="E32" s="7"/>
      <c r="F32" s="6"/>
      <c r="G32" s="6"/>
      <c r="H32" s="6"/>
      <c r="I32" s="7"/>
      <c r="M32" s="10"/>
    </row>
    <row r="33" spans="2:13" ht="18" customHeight="1">
      <c r="B33" s="11"/>
      <c r="C33" s="6"/>
      <c r="D33" s="12"/>
      <c r="E33" s="7"/>
      <c r="F33" s="6"/>
      <c r="G33" s="6"/>
      <c r="H33" s="6"/>
      <c r="I33" s="7"/>
      <c r="M33" s="10"/>
    </row>
    <row r="34" spans="2:13" ht="18" customHeight="1">
      <c r="B34" s="11"/>
      <c r="C34" s="6"/>
      <c r="D34" s="12"/>
      <c r="E34" s="7"/>
      <c r="F34" s="6"/>
      <c r="G34" s="6"/>
      <c r="H34" s="6"/>
      <c r="I34" s="7"/>
      <c r="M34" s="10"/>
    </row>
    <row r="35" spans="2:13" ht="18" customHeight="1">
      <c r="B35" s="11"/>
      <c r="C35" s="6"/>
      <c r="D35" s="12"/>
      <c r="E35" s="7"/>
      <c r="F35" s="6"/>
      <c r="G35" s="6"/>
      <c r="H35" s="6"/>
      <c r="I35" s="7"/>
      <c r="M35" s="10"/>
    </row>
    <row r="36" spans="2:13" ht="18" customHeight="1">
      <c r="B36" s="11"/>
      <c r="C36" s="6"/>
      <c r="D36" s="12"/>
      <c r="E36" s="7"/>
      <c r="F36" s="6"/>
      <c r="G36" s="6"/>
      <c r="H36" s="6"/>
      <c r="I36" s="7"/>
      <c r="M36" s="10"/>
    </row>
    <row r="37" spans="2:13" ht="18" customHeight="1">
      <c r="B37" s="11"/>
      <c r="C37" s="6"/>
      <c r="D37" s="12"/>
      <c r="E37" s="7"/>
      <c r="F37" s="6"/>
      <c r="G37" s="6"/>
      <c r="H37" s="6"/>
      <c r="I37" s="7"/>
      <c r="M37" s="10"/>
    </row>
    <row r="38" spans="2:13" ht="18" customHeight="1">
      <c r="B38" s="11"/>
      <c r="C38" s="6"/>
      <c r="D38" s="12"/>
      <c r="E38" s="7"/>
      <c r="F38" s="6"/>
      <c r="G38" s="6"/>
      <c r="H38" s="6"/>
      <c r="I38" s="7"/>
      <c r="M38" s="10"/>
    </row>
    <row r="39" spans="2:13" ht="18" customHeight="1">
      <c r="B39" s="11"/>
      <c r="C39" s="6"/>
      <c r="D39" s="12"/>
      <c r="E39" s="7"/>
      <c r="F39" s="6"/>
      <c r="G39" s="6"/>
      <c r="H39" s="6"/>
      <c r="I39" s="7"/>
      <c r="M39" s="10"/>
    </row>
    <row r="40" spans="2:13" ht="18" customHeight="1">
      <c r="B40" s="11"/>
      <c r="C40" s="6"/>
      <c r="D40" s="12"/>
      <c r="E40" s="7"/>
      <c r="F40" s="6"/>
      <c r="G40" s="6"/>
      <c r="H40" s="6"/>
      <c r="I40" s="7"/>
      <c r="M40" s="10"/>
    </row>
    <row r="41" spans="2:13" ht="18" customHeight="1" thickBot="1">
      <c r="B41" s="13"/>
      <c r="C41" s="8"/>
      <c r="D41" s="14"/>
      <c r="E41" s="9"/>
      <c r="F41" s="8"/>
      <c r="G41" s="8"/>
      <c r="H41" s="8"/>
      <c r="I41" s="9"/>
      <c r="J41" s="15"/>
      <c r="K41" s="15"/>
      <c r="L41" s="15"/>
      <c r="M41" s="16"/>
    </row>
  </sheetData>
  <mergeCells count="14">
    <mergeCell ref="N17:Q17"/>
    <mergeCell ref="F4:I4"/>
    <mergeCell ref="B30:E30"/>
    <mergeCell ref="J4:M4"/>
    <mergeCell ref="F30:I30"/>
    <mergeCell ref="J30:M30"/>
    <mergeCell ref="C22:D23"/>
    <mergeCell ref="J5:M15"/>
    <mergeCell ref="B5:E15"/>
    <mergeCell ref="B2:M2"/>
    <mergeCell ref="B17:E17"/>
    <mergeCell ref="F17:I17"/>
    <mergeCell ref="B4:E4"/>
    <mergeCell ref="J17:M17"/>
  </mergeCells>
  <pageMargins left="0.75" right="0.75" top="1" bottom="1" header="0.5" footer="0.5"/>
  <pageSetup paperSize="9" orientation="portrait" verticalDpi="0"/>
  <headerFooter>
    <oddFooter>&amp;L&amp;"Calibri"&amp;10 &amp;K000000_x000D_# This document is protected as Hyundai Motor's intellectual property under relevant laws and regulations.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W138"/>
  <sheetViews>
    <sheetView zoomScale="55" zoomScaleNormal="55" workbookViewId="0">
      <selection activeCell="U24" sqref="U24"/>
    </sheetView>
  </sheetViews>
  <sheetFormatPr defaultColWidth="14.5" defaultRowHeight="15" customHeight="1"/>
  <cols>
    <col min="1" max="7" width="9.125" style="20" customWidth="1"/>
    <col min="8" max="8" width="4.75" style="20" customWidth="1"/>
    <col min="9" max="15" width="9.125" style="20" customWidth="1"/>
    <col min="16" max="16" width="4" style="20" customWidth="1"/>
    <col min="17" max="17" width="12.375" style="20" bestFit="1" customWidth="1"/>
    <col min="18" max="18" width="14.5" style="20" customWidth="1"/>
    <col min="19" max="19" width="19.375" style="20" bestFit="1" customWidth="1"/>
    <col min="20" max="20" width="15.5" style="20" bestFit="1" customWidth="1"/>
    <col min="21" max="21" width="10.625" style="20" bestFit="1" customWidth="1"/>
    <col min="22" max="23" width="18.75" style="20" customWidth="1"/>
    <col min="24" max="24" width="14.5" style="20" customWidth="1"/>
    <col min="25" max="16384" width="14.5" style="20"/>
  </cols>
  <sheetData>
    <row r="1" spans="1:23" ht="26.1" customHeight="1" thickBot="1">
      <c r="A1" s="92" t="s">
        <v>55</v>
      </c>
      <c r="B1" s="78"/>
      <c r="C1" s="78"/>
      <c r="D1" s="78"/>
      <c r="E1" s="78"/>
      <c r="F1" s="78"/>
      <c r="G1" s="79"/>
      <c r="H1" s="18"/>
      <c r="I1" s="92" t="s">
        <v>56</v>
      </c>
      <c r="J1" s="78"/>
      <c r="K1" s="78"/>
      <c r="L1" s="78"/>
      <c r="M1" s="78"/>
      <c r="N1" s="78"/>
      <c r="O1" s="79"/>
      <c r="P1" s="18"/>
      <c r="Q1" s="93" t="s">
        <v>57</v>
      </c>
      <c r="R1" s="68"/>
      <c r="S1" s="68"/>
      <c r="T1" s="68"/>
      <c r="U1" s="68"/>
      <c r="V1" s="68"/>
      <c r="W1" s="68"/>
    </row>
    <row r="2" spans="1:23" ht="21.95" customHeight="1">
      <c r="A2" s="21"/>
      <c r="B2" s="18"/>
      <c r="C2" s="18"/>
      <c r="D2" s="18"/>
      <c r="E2" s="18"/>
      <c r="F2" s="18"/>
      <c r="G2" s="22"/>
      <c r="H2" s="18"/>
      <c r="I2" s="21"/>
      <c r="J2" s="18"/>
      <c r="K2" s="18"/>
      <c r="L2" s="18"/>
      <c r="M2" s="18"/>
      <c r="N2" s="18"/>
      <c r="O2" s="22"/>
      <c r="P2" s="18"/>
      <c r="Q2" s="56" t="s">
        <v>58</v>
      </c>
      <c r="R2" s="56" t="s">
        <v>59</v>
      </c>
      <c r="S2" s="56" t="s">
        <v>60</v>
      </c>
      <c r="T2" s="56" t="s">
        <v>61</v>
      </c>
      <c r="U2" s="56" t="s">
        <v>62</v>
      </c>
      <c r="V2" s="56" t="s">
        <v>63</v>
      </c>
      <c r="W2" s="56" t="s">
        <v>64</v>
      </c>
    </row>
    <row r="3" spans="1:23" ht="12.75" customHeight="1">
      <c r="A3" s="21"/>
      <c r="B3" s="18"/>
      <c r="C3" s="18"/>
      <c r="D3" s="18"/>
      <c r="E3" s="18"/>
      <c r="F3" s="18"/>
      <c r="G3" s="22"/>
      <c r="H3" s="18"/>
      <c r="I3" s="21"/>
      <c r="J3" s="18"/>
      <c r="K3" s="18"/>
      <c r="L3" s="18"/>
      <c r="M3" s="18"/>
      <c r="N3" s="18"/>
      <c r="O3" s="22"/>
      <c r="P3" s="18"/>
      <c r="Q3" s="57" t="s">
        <v>65</v>
      </c>
      <c r="R3" s="57" t="s">
        <v>66</v>
      </c>
      <c r="S3" s="57" t="s">
        <v>67</v>
      </c>
      <c r="T3" s="58" t="s">
        <v>68</v>
      </c>
      <c r="U3" s="57" t="s">
        <v>69</v>
      </c>
      <c r="V3" s="58" t="s">
        <v>70</v>
      </c>
      <c r="W3" s="58" t="e">
        <f>+V3*1.18</f>
        <v>#VALUE!</v>
      </c>
    </row>
    <row r="4" spans="1:23" ht="12.75" customHeight="1">
      <c r="A4" s="21"/>
      <c r="B4" s="18"/>
      <c r="C4" s="18"/>
      <c r="D4" s="18"/>
      <c r="E4" s="18"/>
      <c r="F4" s="18"/>
      <c r="G4" s="22"/>
      <c r="H4" s="18"/>
      <c r="I4" s="21"/>
      <c r="J4" s="18"/>
      <c r="K4" s="18"/>
      <c r="L4" s="18"/>
      <c r="M4" s="18"/>
      <c r="N4" s="18"/>
      <c r="O4" s="22"/>
      <c r="P4" s="18"/>
      <c r="Q4" s="59" t="s">
        <v>133</v>
      </c>
      <c r="R4" s="59" t="s">
        <v>71</v>
      </c>
      <c r="S4" s="59" t="s">
        <v>72</v>
      </c>
      <c r="T4" s="60" t="s">
        <v>73</v>
      </c>
      <c r="U4" s="59" t="s">
        <v>74</v>
      </c>
      <c r="V4" s="60" t="s">
        <v>75</v>
      </c>
      <c r="W4" s="60" t="e">
        <f>V4*1.18</f>
        <v>#VALUE!</v>
      </c>
    </row>
    <row r="5" spans="1:23" ht="20.100000000000001" customHeight="1">
      <c r="A5" s="21"/>
      <c r="B5" s="18"/>
      <c r="C5" s="18"/>
      <c r="D5" s="18"/>
      <c r="E5" s="18"/>
      <c r="F5" s="18"/>
      <c r="G5" s="22"/>
      <c r="H5" s="18"/>
      <c r="I5" s="21"/>
      <c r="J5" s="18"/>
      <c r="K5" s="18"/>
      <c r="L5" s="18"/>
      <c r="M5" s="18"/>
      <c r="N5" s="18"/>
      <c r="O5" s="22"/>
      <c r="P5" s="18"/>
      <c r="Q5" s="97" t="s">
        <v>148</v>
      </c>
      <c r="R5" s="97"/>
      <c r="S5" s="97"/>
      <c r="T5" s="97"/>
      <c r="U5" s="97"/>
      <c r="V5" s="61">
        <f>SUM(V3:V4)</f>
        <v>0</v>
      </c>
      <c r="W5" s="61" t="e">
        <f>SUM(W3:W4)</f>
        <v>#VALUE!</v>
      </c>
    </row>
    <row r="6" spans="1:23" ht="12.75" customHeight="1">
      <c r="A6" s="21"/>
      <c r="B6" s="18"/>
      <c r="C6" s="18"/>
      <c r="D6" s="18"/>
      <c r="E6" s="18"/>
      <c r="F6" s="18"/>
      <c r="G6" s="22"/>
      <c r="H6" s="18"/>
      <c r="I6" s="21"/>
      <c r="J6" s="18"/>
      <c r="K6" s="18"/>
      <c r="L6" s="18"/>
      <c r="M6" s="18"/>
      <c r="N6" s="18"/>
      <c r="O6" s="22"/>
      <c r="P6" s="18"/>
      <c r="Q6" s="56" t="s">
        <v>58</v>
      </c>
      <c r="R6" s="56" t="s">
        <v>76</v>
      </c>
      <c r="S6" s="56" t="s">
        <v>77</v>
      </c>
      <c r="T6" s="56" t="s">
        <v>61</v>
      </c>
      <c r="U6" s="56" t="s">
        <v>62</v>
      </c>
      <c r="V6" s="56" t="s">
        <v>63</v>
      </c>
      <c r="W6" s="56" t="s">
        <v>64</v>
      </c>
    </row>
    <row r="7" spans="1:23" ht="12.75" customHeight="1">
      <c r="A7" s="21"/>
      <c r="B7" s="18"/>
      <c r="C7" s="18"/>
      <c r="D7" s="18"/>
      <c r="E7" s="18"/>
      <c r="F7" s="18"/>
      <c r="G7" s="22"/>
      <c r="H7" s="18"/>
      <c r="I7" s="21"/>
      <c r="J7" s="18"/>
      <c r="K7" s="18"/>
      <c r="L7" s="18"/>
      <c r="M7" s="18"/>
      <c r="N7" s="18"/>
      <c r="O7" s="22"/>
      <c r="P7" s="18"/>
      <c r="Q7" s="57" t="s">
        <v>78</v>
      </c>
      <c r="R7" s="57" t="s">
        <v>79</v>
      </c>
      <c r="S7" s="57" t="s">
        <v>80</v>
      </c>
      <c r="T7" s="57" t="s">
        <v>81</v>
      </c>
      <c r="U7" s="57" t="s">
        <v>82</v>
      </c>
      <c r="V7" s="57" t="s">
        <v>83</v>
      </c>
      <c r="W7" s="57" t="e">
        <f>V7*1.18</f>
        <v>#VALUE!</v>
      </c>
    </row>
    <row r="8" spans="1:23" ht="21.95" customHeight="1">
      <c r="A8" s="21"/>
      <c r="B8" s="18"/>
      <c r="C8" s="18"/>
      <c r="D8" s="18"/>
      <c r="E8" s="18"/>
      <c r="F8" s="18"/>
      <c r="G8" s="22"/>
      <c r="H8" s="18"/>
      <c r="I8" s="21"/>
      <c r="J8" s="18"/>
      <c r="K8" s="18"/>
      <c r="L8" s="18"/>
      <c r="M8" s="18"/>
      <c r="N8" s="18"/>
      <c r="O8" s="22"/>
      <c r="P8" s="18"/>
      <c r="Q8" s="59" t="s">
        <v>135</v>
      </c>
      <c r="R8" s="59" t="s">
        <v>84</v>
      </c>
      <c r="S8" s="59" t="s">
        <v>85</v>
      </c>
      <c r="T8" s="60" t="s">
        <v>86</v>
      </c>
      <c r="U8" s="59" t="s">
        <v>87</v>
      </c>
      <c r="V8" s="60" t="s">
        <v>88</v>
      </c>
      <c r="W8" s="60" t="e">
        <f>V8*1.18</f>
        <v>#VALUE!</v>
      </c>
    </row>
    <row r="9" spans="1:23" ht="19.5" customHeight="1">
      <c r="A9" s="21"/>
      <c r="B9" s="18"/>
      <c r="C9" s="18"/>
      <c r="D9" s="18"/>
      <c r="E9" s="18"/>
      <c r="F9" s="18"/>
      <c r="G9" s="22"/>
      <c r="H9" s="18"/>
      <c r="I9" s="21"/>
      <c r="J9" s="18"/>
      <c r="K9" s="18"/>
      <c r="L9" s="18"/>
      <c r="M9" s="18"/>
      <c r="N9" s="18"/>
      <c r="O9" s="22"/>
      <c r="P9" s="18"/>
      <c r="Q9" s="97" t="s">
        <v>149</v>
      </c>
      <c r="R9" s="97"/>
      <c r="S9" s="97"/>
      <c r="T9" s="97"/>
      <c r="U9" s="97"/>
      <c r="V9" s="66">
        <f>SUM(V7:V8)</f>
        <v>0</v>
      </c>
      <c r="W9" s="61" t="e">
        <f>SUM(W7:W8)</f>
        <v>#VALUE!</v>
      </c>
    </row>
    <row r="10" spans="1:23" ht="19.5" customHeight="1">
      <c r="A10" s="21"/>
      <c r="B10" s="18"/>
      <c r="C10" s="18"/>
      <c r="D10" s="18"/>
      <c r="E10" s="18"/>
      <c r="F10" s="18"/>
      <c r="G10" s="22"/>
      <c r="H10" s="18"/>
      <c r="I10" s="21"/>
      <c r="J10" s="18"/>
      <c r="K10" s="18"/>
      <c r="L10" s="18"/>
      <c r="M10" s="18"/>
      <c r="N10" s="18"/>
      <c r="O10" s="22"/>
      <c r="P10" s="18"/>
      <c r="Q10" s="94" t="s">
        <v>89</v>
      </c>
      <c r="R10" s="95"/>
      <c r="S10" s="95"/>
      <c r="T10" s="95"/>
      <c r="U10" s="95"/>
      <c r="V10" s="96"/>
      <c r="W10" s="62" t="e">
        <f>SUM(W5+W9)</f>
        <v>#VALUE!</v>
      </c>
    </row>
    <row r="11" spans="1:23" ht="20.100000000000001" customHeight="1">
      <c r="A11" s="21"/>
      <c r="B11" s="18"/>
      <c r="C11" s="18"/>
      <c r="D11" s="18"/>
      <c r="E11" s="18"/>
      <c r="F11" s="18"/>
      <c r="G11" s="22"/>
      <c r="H11" s="18"/>
      <c r="I11" s="21"/>
      <c r="J11" s="18"/>
      <c r="K11" s="18"/>
      <c r="L11" s="18"/>
      <c r="M11" s="18"/>
      <c r="N11" s="18"/>
      <c r="O11" s="22"/>
      <c r="P11" s="18"/>
      <c r="Q11" s="19"/>
    </row>
    <row r="12" spans="1:23" ht="12.75" customHeight="1">
      <c r="A12" s="21"/>
      <c r="B12" s="18"/>
      <c r="C12" s="18"/>
      <c r="D12" s="18"/>
      <c r="E12" s="18"/>
      <c r="F12" s="18"/>
      <c r="G12" s="22"/>
      <c r="H12" s="18"/>
      <c r="I12" s="21"/>
      <c r="J12" s="18"/>
      <c r="K12" s="18"/>
      <c r="L12" s="18"/>
      <c r="M12" s="18"/>
      <c r="N12" s="18"/>
      <c r="O12" s="22"/>
      <c r="P12" s="18"/>
      <c r="Q12" s="19"/>
    </row>
    <row r="13" spans="1:23" ht="12.75" customHeight="1">
      <c r="A13" s="21"/>
      <c r="B13" s="18"/>
      <c r="C13" s="18"/>
      <c r="D13" s="18"/>
      <c r="E13" s="18"/>
      <c r="F13" s="18"/>
      <c r="G13" s="22"/>
      <c r="H13" s="18"/>
      <c r="I13" s="21"/>
      <c r="J13" s="18"/>
      <c r="K13" s="18"/>
      <c r="L13" s="18"/>
      <c r="M13" s="18"/>
      <c r="N13" s="18"/>
      <c r="O13" s="22"/>
      <c r="P13" s="18"/>
      <c r="Q13" s="19"/>
    </row>
    <row r="14" spans="1:23" ht="12.75" customHeight="1">
      <c r="A14" s="21"/>
      <c r="B14" s="18"/>
      <c r="C14" s="18"/>
      <c r="D14" s="18"/>
      <c r="E14" s="18"/>
      <c r="F14" s="18"/>
      <c r="G14" s="22"/>
      <c r="H14" s="18"/>
      <c r="I14" s="21"/>
      <c r="J14" s="18"/>
      <c r="K14" s="18"/>
      <c r="L14" s="18"/>
      <c r="M14" s="18"/>
      <c r="N14" s="18"/>
      <c r="O14" s="22"/>
      <c r="P14" s="18"/>
      <c r="Q14" s="19"/>
    </row>
    <row r="15" spans="1:23" ht="12.75" customHeight="1">
      <c r="A15" s="21"/>
      <c r="B15" s="18"/>
      <c r="C15" s="18"/>
      <c r="D15" s="18"/>
      <c r="E15" s="18"/>
      <c r="F15" s="18"/>
      <c r="G15" s="22"/>
      <c r="H15" s="18"/>
      <c r="I15" s="21"/>
      <c r="J15" s="18"/>
      <c r="K15" s="18"/>
      <c r="L15" s="18"/>
      <c r="M15" s="18"/>
      <c r="N15" s="18"/>
      <c r="O15" s="22"/>
      <c r="P15" s="18"/>
      <c r="Q15" s="19"/>
    </row>
    <row r="16" spans="1:23" ht="24" customHeight="1">
      <c r="A16" s="21"/>
      <c r="B16" s="18"/>
      <c r="C16" s="18"/>
      <c r="D16" s="18"/>
      <c r="E16" s="18"/>
      <c r="F16" s="18"/>
      <c r="G16" s="22"/>
      <c r="H16" s="18"/>
      <c r="I16" s="21"/>
      <c r="J16" s="18"/>
      <c r="K16" s="18"/>
      <c r="L16" s="18"/>
      <c r="M16" s="18"/>
      <c r="N16" s="18"/>
      <c r="O16" s="22"/>
      <c r="P16" s="18"/>
      <c r="Q16" s="19"/>
    </row>
    <row r="17" spans="1:17" ht="12.75" customHeight="1">
      <c r="A17" s="21"/>
      <c r="B17" s="18"/>
      <c r="C17" s="18"/>
      <c r="D17" s="18"/>
      <c r="E17" s="18"/>
      <c r="F17" s="18"/>
      <c r="G17" s="22"/>
      <c r="H17" s="18"/>
      <c r="I17" s="21"/>
      <c r="J17" s="18"/>
      <c r="K17" s="18"/>
      <c r="L17" s="18"/>
      <c r="M17" s="18"/>
      <c r="N17" s="18"/>
      <c r="O17" s="22"/>
      <c r="P17" s="18"/>
      <c r="Q17" s="19"/>
    </row>
    <row r="18" spans="1:17" ht="12.75" customHeight="1">
      <c r="A18" s="21"/>
      <c r="B18" s="18"/>
      <c r="C18" s="18"/>
      <c r="D18" s="18"/>
      <c r="E18" s="18"/>
      <c r="F18" s="18"/>
      <c r="G18" s="22"/>
      <c r="H18" s="18"/>
      <c r="I18" s="21"/>
      <c r="J18" s="18"/>
      <c r="K18" s="18"/>
      <c r="L18" s="18"/>
      <c r="M18" s="18"/>
      <c r="N18" s="18"/>
      <c r="O18" s="22"/>
      <c r="P18" s="18"/>
      <c r="Q18" s="19"/>
    </row>
    <row r="19" spans="1:17" ht="12.75" customHeight="1">
      <c r="A19" s="21"/>
      <c r="B19" s="18"/>
      <c r="C19" s="18"/>
      <c r="D19" s="18"/>
      <c r="E19" s="18"/>
      <c r="F19" s="18"/>
      <c r="G19" s="22"/>
      <c r="H19" s="18"/>
      <c r="I19" s="21"/>
      <c r="J19" s="18"/>
      <c r="K19" s="18"/>
      <c r="L19" s="18"/>
      <c r="M19" s="18"/>
      <c r="N19" s="18"/>
      <c r="O19" s="22"/>
      <c r="P19" s="18"/>
      <c r="Q19" s="19"/>
    </row>
    <row r="20" spans="1:17" ht="12.75" customHeight="1">
      <c r="A20" s="21"/>
      <c r="B20" s="18"/>
      <c r="C20" s="18"/>
      <c r="D20" s="18"/>
      <c r="E20" s="18"/>
      <c r="F20" s="18"/>
      <c r="G20" s="22"/>
      <c r="H20" s="18"/>
      <c r="I20" s="21"/>
      <c r="J20" s="18"/>
      <c r="K20" s="18"/>
      <c r="L20" s="18"/>
      <c r="M20" s="18"/>
      <c r="N20" s="18"/>
      <c r="O20" s="22"/>
      <c r="P20" s="18"/>
      <c r="Q20" s="19"/>
    </row>
    <row r="21" spans="1:17" ht="12.75" customHeight="1">
      <c r="A21" s="21"/>
      <c r="B21" s="18"/>
      <c r="C21" s="18"/>
      <c r="D21" s="18"/>
      <c r="E21" s="18"/>
      <c r="F21" s="18"/>
      <c r="G21" s="22"/>
      <c r="H21" s="18"/>
      <c r="I21" s="21"/>
      <c r="J21" s="18"/>
      <c r="K21" s="18"/>
      <c r="L21" s="18"/>
      <c r="M21" s="18"/>
      <c r="N21" s="18"/>
      <c r="O21" s="22"/>
      <c r="P21" s="18"/>
      <c r="Q21" s="19"/>
    </row>
    <row r="22" spans="1:17" ht="12.75" customHeight="1">
      <c r="A22" s="21"/>
      <c r="B22" s="18"/>
      <c r="C22" s="18"/>
      <c r="D22" s="18"/>
      <c r="E22" s="18"/>
      <c r="F22" s="18"/>
      <c r="G22" s="22"/>
      <c r="H22" s="18"/>
      <c r="I22" s="21"/>
      <c r="J22" s="18"/>
      <c r="K22" s="18"/>
      <c r="L22" s="18"/>
      <c r="M22" s="18"/>
      <c r="N22" s="18"/>
      <c r="O22" s="22"/>
      <c r="P22" s="18"/>
      <c r="Q22" s="19"/>
    </row>
    <row r="23" spans="1:17" ht="12.75" customHeight="1">
      <c r="A23" s="21"/>
      <c r="B23" s="18"/>
      <c r="C23" s="18"/>
      <c r="D23" s="18"/>
      <c r="E23" s="18"/>
      <c r="F23" s="18"/>
      <c r="G23" s="22"/>
      <c r="H23" s="18"/>
      <c r="I23" s="21"/>
      <c r="J23" s="18"/>
      <c r="K23" s="18"/>
      <c r="L23" s="18"/>
      <c r="M23" s="18"/>
      <c r="N23" s="18"/>
      <c r="O23" s="22"/>
      <c r="P23" s="18"/>
      <c r="Q23" s="19"/>
    </row>
    <row r="24" spans="1:17" ht="12.75" customHeight="1">
      <c r="A24" s="21"/>
      <c r="B24" s="18"/>
      <c r="C24" s="18"/>
      <c r="D24" s="18"/>
      <c r="E24" s="18"/>
      <c r="F24" s="18"/>
      <c r="G24" s="22"/>
      <c r="H24" s="18"/>
      <c r="I24" s="21"/>
      <c r="J24" s="18"/>
      <c r="K24" s="18"/>
      <c r="L24" s="18"/>
      <c r="M24" s="18"/>
      <c r="N24" s="18"/>
      <c r="O24" s="22"/>
      <c r="P24" s="18"/>
      <c r="Q24" s="19"/>
    </row>
    <row r="25" spans="1:17" ht="12.75" customHeight="1">
      <c r="A25" s="21"/>
      <c r="B25" s="18"/>
      <c r="C25" s="18"/>
      <c r="D25" s="18"/>
      <c r="E25" s="18"/>
      <c r="F25" s="18"/>
      <c r="G25" s="22"/>
      <c r="H25" s="18"/>
      <c r="I25" s="21"/>
      <c r="J25" s="18"/>
      <c r="K25" s="18"/>
      <c r="L25" s="18"/>
      <c r="M25" s="18"/>
      <c r="N25" s="18"/>
      <c r="O25" s="22"/>
      <c r="P25" s="18"/>
      <c r="Q25" s="19"/>
    </row>
    <row r="26" spans="1:17" ht="12.75" customHeight="1">
      <c r="A26" s="21"/>
      <c r="B26" s="18"/>
      <c r="C26" s="18"/>
      <c r="D26" s="18"/>
      <c r="E26" s="18"/>
      <c r="F26" s="18"/>
      <c r="G26" s="22"/>
      <c r="H26" s="18"/>
      <c r="I26" s="21"/>
      <c r="J26" s="18"/>
      <c r="K26" s="18"/>
      <c r="L26" s="18"/>
      <c r="M26" s="18"/>
      <c r="N26" s="18"/>
      <c r="O26" s="22"/>
      <c r="P26" s="18"/>
      <c r="Q26" s="19"/>
    </row>
    <row r="27" spans="1:17" ht="12.75" customHeight="1">
      <c r="A27" s="21"/>
      <c r="B27" s="18"/>
      <c r="C27" s="18"/>
      <c r="D27" s="18"/>
      <c r="E27" s="18"/>
      <c r="F27" s="18"/>
      <c r="G27" s="22"/>
      <c r="H27" s="18"/>
      <c r="I27" s="21"/>
      <c r="J27" s="18"/>
      <c r="K27" s="18"/>
      <c r="L27" s="18"/>
      <c r="M27" s="18"/>
      <c r="N27" s="18"/>
      <c r="O27" s="22"/>
      <c r="P27" s="18"/>
      <c r="Q27" s="19"/>
    </row>
    <row r="28" spans="1:17" ht="12.75" customHeight="1">
      <c r="A28" s="21"/>
      <c r="B28" s="18"/>
      <c r="C28" s="18"/>
      <c r="D28" s="18"/>
      <c r="E28" s="18"/>
      <c r="F28" s="18"/>
      <c r="G28" s="22"/>
      <c r="H28" s="18"/>
      <c r="I28" s="21"/>
      <c r="J28" s="18"/>
      <c r="K28" s="18"/>
      <c r="L28" s="18"/>
      <c r="M28" s="18"/>
      <c r="N28" s="18"/>
      <c r="O28" s="22"/>
      <c r="P28" s="18"/>
      <c r="Q28" s="19"/>
    </row>
    <row r="29" spans="1:17" ht="12.75" customHeight="1">
      <c r="A29" s="21"/>
      <c r="B29" s="18"/>
      <c r="C29" s="18"/>
      <c r="D29" s="18"/>
      <c r="E29" s="18"/>
      <c r="F29" s="18"/>
      <c r="G29" s="22"/>
      <c r="H29" s="18"/>
      <c r="I29" s="21"/>
      <c r="J29" s="18"/>
      <c r="K29" s="18"/>
      <c r="L29" s="18"/>
      <c r="M29" s="18"/>
      <c r="N29" s="18"/>
      <c r="O29" s="22"/>
      <c r="P29" s="18"/>
      <c r="Q29" s="19"/>
    </row>
    <row r="30" spans="1:17" ht="12.75" customHeight="1">
      <c r="A30" s="21"/>
      <c r="B30" s="18"/>
      <c r="C30" s="18"/>
      <c r="D30" s="18"/>
      <c r="E30" s="18"/>
      <c r="F30" s="18"/>
      <c r="G30" s="22"/>
      <c r="H30" s="18"/>
      <c r="I30" s="21"/>
      <c r="J30" s="18"/>
      <c r="K30" s="18"/>
      <c r="L30" s="18"/>
      <c r="M30" s="18"/>
      <c r="N30" s="18"/>
      <c r="O30" s="22"/>
      <c r="P30" s="18"/>
      <c r="Q30" s="19"/>
    </row>
    <row r="31" spans="1:17" ht="12.75" customHeight="1">
      <c r="A31" s="21"/>
      <c r="B31" s="18"/>
      <c r="C31" s="18"/>
      <c r="D31" s="18"/>
      <c r="E31" s="18"/>
      <c r="F31" s="18"/>
      <c r="G31" s="22"/>
      <c r="H31" s="18"/>
      <c r="I31" s="21"/>
      <c r="J31" s="18"/>
      <c r="K31" s="18"/>
      <c r="L31" s="18"/>
      <c r="M31" s="18"/>
      <c r="N31" s="18"/>
      <c r="O31" s="22"/>
      <c r="P31" s="18"/>
      <c r="Q31" s="19"/>
    </row>
    <row r="32" spans="1:17" ht="12.75" customHeight="1">
      <c r="A32" s="21"/>
      <c r="B32" s="18"/>
      <c r="C32" s="18"/>
      <c r="D32" s="18"/>
      <c r="E32" s="18"/>
      <c r="F32" s="18"/>
      <c r="G32" s="22"/>
      <c r="H32" s="18"/>
      <c r="I32" s="21"/>
      <c r="J32" s="18"/>
      <c r="K32" s="18"/>
      <c r="L32" s="18"/>
      <c r="M32" s="18"/>
      <c r="N32" s="18"/>
      <c r="O32" s="22"/>
      <c r="P32" s="18"/>
      <c r="Q32" s="19"/>
    </row>
    <row r="33" spans="1:17" ht="12.75" customHeight="1">
      <c r="A33" s="21"/>
      <c r="B33" s="18"/>
      <c r="C33" s="18"/>
      <c r="D33" s="18"/>
      <c r="E33" s="18"/>
      <c r="F33" s="18"/>
      <c r="G33" s="22"/>
      <c r="H33" s="18"/>
      <c r="I33" s="21"/>
      <c r="J33" s="18"/>
      <c r="K33" s="18"/>
      <c r="L33" s="18"/>
      <c r="M33" s="18"/>
      <c r="N33" s="18"/>
      <c r="O33" s="22"/>
      <c r="P33" s="18"/>
      <c r="Q33" s="19"/>
    </row>
    <row r="34" spans="1:17" ht="12.75" customHeight="1" thickBot="1">
      <c r="A34" s="23"/>
      <c r="B34" s="24"/>
      <c r="C34" s="24"/>
      <c r="D34" s="24"/>
      <c r="E34" s="24"/>
      <c r="F34" s="24"/>
      <c r="G34" s="25"/>
      <c r="H34" s="18"/>
      <c r="I34" s="23"/>
      <c r="J34" s="24"/>
      <c r="K34" s="24"/>
      <c r="L34" s="24"/>
      <c r="M34" s="24"/>
      <c r="N34" s="24"/>
      <c r="O34" s="25"/>
      <c r="P34" s="18"/>
      <c r="Q34" s="19"/>
    </row>
    <row r="35" spans="1:17" ht="12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spans="1:17" ht="12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9"/>
    </row>
    <row r="37" spans="1:17" ht="12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9"/>
    </row>
    <row r="38" spans="1:17" ht="12.75" customHeight="1" thickBo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9"/>
    </row>
    <row r="39" spans="1:17" ht="26.1" customHeight="1" thickBot="1">
      <c r="A39" s="92" t="s">
        <v>90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9"/>
      <c r="P39" s="18"/>
      <c r="Q39" s="19"/>
    </row>
    <row r="40" spans="1:17" ht="80.099999999999994" customHeight="1">
      <c r="A40" s="3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22"/>
      <c r="P40" s="18"/>
      <c r="Q40" s="19"/>
    </row>
    <row r="41" spans="1:17" ht="12.75" customHeight="1">
      <c r="A41" s="21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2"/>
      <c r="P41" s="18"/>
      <c r="Q41" s="19"/>
    </row>
    <row r="42" spans="1:17" ht="12.75" customHeight="1">
      <c r="A42" s="21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2"/>
      <c r="P42" s="18"/>
      <c r="Q42" s="19"/>
    </row>
    <row r="43" spans="1:17" ht="12.75" customHeight="1">
      <c r="A43" s="21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22"/>
      <c r="P43" s="18"/>
      <c r="Q43" s="19"/>
    </row>
    <row r="44" spans="1:17" ht="12.75" customHeight="1">
      <c r="A44" s="21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22"/>
      <c r="P44" s="18"/>
      <c r="Q44" s="19"/>
    </row>
    <row r="45" spans="1:17" ht="12.75" customHeight="1">
      <c r="A45" s="21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22"/>
      <c r="P45" s="18"/>
      <c r="Q45" s="19"/>
    </row>
    <row r="46" spans="1:17" ht="12.75" customHeight="1">
      <c r="A46" s="21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22"/>
      <c r="P46" s="18"/>
      <c r="Q46" s="19"/>
    </row>
    <row r="47" spans="1:17" ht="12.75" customHeight="1">
      <c r="A47" s="21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22"/>
      <c r="P47" s="18"/>
      <c r="Q47" s="19"/>
    </row>
    <row r="48" spans="1:17" ht="12.75" customHeight="1">
      <c r="A48" s="21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22"/>
      <c r="P48" s="18"/>
      <c r="Q48" s="19"/>
    </row>
    <row r="49" spans="1:17" ht="12.75" customHeight="1">
      <c r="A49" s="21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22"/>
      <c r="P49" s="18"/>
      <c r="Q49" s="19"/>
    </row>
    <row r="50" spans="1:17" ht="12.75" customHeight="1">
      <c r="A50" s="21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22"/>
      <c r="P50" s="18"/>
      <c r="Q50" s="19"/>
    </row>
    <row r="51" spans="1:17" ht="12.75" customHeight="1">
      <c r="A51" s="21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22"/>
      <c r="P51" s="18"/>
      <c r="Q51" s="19"/>
    </row>
    <row r="52" spans="1:17" ht="12.75" customHeight="1">
      <c r="A52" s="21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22"/>
      <c r="P52" s="18"/>
      <c r="Q52" s="19"/>
    </row>
    <row r="53" spans="1:17" ht="12.75" customHeight="1">
      <c r="A53" s="21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2"/>
      <c r="P53" s="18"/>
      <c r="Q53" s="19"/>
    </row>
    <row r="54" spans="1:17" ht="12.75" customHeight="1">
      <c r="A54" s="21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22"/>
      <c r="P54" s="18"/>
      <c r="Q54" s="19"/>
    </row>
    <row r="55" spans="1:17" ht="12.75" customHeight="1">
      <c r="A55" s="21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2"/>
      <c r="P55" s="18"/>
      <c r="Q55" s="19"/>
    </row>
    <row r="56" spans="1:17" ht="12.75" customHeight="1">
      <c r="A56" s="21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2"/>
      <c r="P56" s="18"/>
      <c r="Q56" s="19"/>
    </row>
    <row r="57" spans="1:17" ht="12.75" customHeight="1">
      <c r="A57" s="21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22"/>
      <c r="P57" s="18"/>
      <c r="Q57" s="19"/>
    </row>
    <row r="58" spans="1:17" ht="12.75" customHeight="1">
      <c r="A58" s="21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22"/>
      <c r="P58" s="18"/>
      <c r="Q58" s="19"/>
    </row>
    <row r="59" spans="1:17" ht="12.75" customHeight="1">
      <c r="A59" s="21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22"/>
      <c r="P59" s="18"/>
      <c r="Q59" s="19"/>
    </row>
    <row r="60" spans="1:17" ht="12.75" customHeight="1">
      <c r="A60" s="21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22"/>
      <c r="P60" s="18"/>
      <c r="Q60" s="19"/>
    </row>
    <row r="61" spans="1:17" ht="12.75" customHeight="1">
      <c r="A61" s="21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22"/>
      <c r="P61" s="18"/>
      <c r="Q61" s="19"/>
    </row>
    <row r="62" spans="1:17" ht="12.75" customHeight="1">
      <c r="A62" s="21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2"/>
      <c r="P62" s="18"/>
      <c r="Q62" s="19"/>
    </row>
    <row r="63" spans="1:17" ht="12.75" customHeight="1">
      <c r="A63" s="21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22"/>
      <c r="P63" s="18"/>
      <c r="Q63" s="19"/>
    </row>
    <row r="64" spans="1:17" ht="12.75" customHeight="1">
      <c r="A64" s="21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22"/>
      <c r="P64" s="18"/>
      <c r="Q64" s="19"/>
    </row>
    <row r="65" spans="1:17" ht="12.75" customHeight="1">
      <c r="A65" s="21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22"/>
      <c r="P65" s="18"/>
      <c r="Q65" s="19"/>
    </row>
    <row r="66" spans="1:17" ht="12.75" customHeight="1" thickBot="1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5"/>
      <c r="P66" s="18"/>
      <c r="Q66" s="19"/>
    </row>
    <row r="67" spans="1:17" ht="12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9"/>
    </row>
    <row r="68" spans="1:17" ht="12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9"/>
    </row>
    <row r="69" spans="1:17" ht="12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9"/>
    </row>
    <row r="70" spans="1:17" ht="12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9"/>
    </row>
    <row r="71" spans="1:17" ht="12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9"/>
    </row>
    <row r="72" spans="1:17" ht="12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9"/>
    </row>
    <row r="73" spans="1:17" ht="12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9"/>
    </row>
    <row r="74" spans="1:17" ht="12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9"/>
    </row>
    <row r="75" spans="1:17" ht="12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9"/>
    </row>
    <row r="76" spans="1:17" ht="12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9"/>
    </row>
    <row r="77" spans="1:17" ht="12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9"/>
    </row>
    <row r="78" spans="1:17" ht="12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9"/>
    </row>
    <row r="79" spans="1:17" ht="12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9"/>
    </row>
    <row r="80" spans="1:17" ht="12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9"/>
    </row>
    <row r="81" spans="1:17" ht="12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9"/>
    </row>
    <row r="82" spans="1:17" ht="12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9"/>
    </row>
    <row r="83" spans="1:17" ht="12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9"/>
    </row>
    <row r="84" spans="1:17" ht="12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9"/>
    </row>
    <row r="85" spans="1:17" ht="12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9"/>
    </row>
    <row r="86" spans="1:17" ht="12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9"/>
    </row>
    <row r="87" spans="1:17" ht="12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9"/>
    </row>
    <row r="88" spans="1:17" ht="12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9"/>
    </row>
    <row r="89" spans="1:17" ht="12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9"/>
    </row>
    <row r="90" spans="1:17" ht="12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9"/>
    </row>
    <row r="91" spans="1:17" ht="12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9"/>
    </row>
    <row r="92" spans="1:17" ht="12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9"/>
    </row>
    <row r="93" spans="1:17" ht="12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9"/>
    </row>
    <row r="94" spans="1:17" ht="12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9"/>
    </row>
    <row r="95" spans="1:17" ht="12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9"/>
    </row>
    <row r="96" spans="1:17" ht="12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9"/>
    </row>
    <row r="97" spans="1:17" ht="12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9"/>
    </row>
    <row r="98" spans="1:17" ht="12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9"/>
    </row>
    <row r="99" spans="1:17" ht="12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9"/>
    </row>
    <row r="100" spans="1:17" ht="12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9"/>
    </row>
    <row r="101" spans="1:17" ht="12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9"/>
    </row>
    <row r="102" spans="1:17" ht="12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9"/>
    </row>
    <row r="103" spans="1:17" ht="12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9"/>
    </row>
    <row r="104" spans="1:17" ht="12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9"/>
    </row>
    <row r="105" spans="1:17" ht="12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9"/>
    </row>
    <row r="106" spans="1:17" ht="12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9"/>
    </row>
    <row r="107" spans="1:17" ht="12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9"/>
    </row>
    <row r="108" spans="1:17" ht="12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9"/>
    </row>
    <row r="109" spans="1:17" ht="12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9"/>
    </row>
    <row r="110" spans="1:17" ht="12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9"/>
    </row>
    <row r="111" spans="1:17" ht="12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9"/>
    </row>
    <row r="112" spans="1:17" ht="12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9"/>
    </row>
    <row r="113" spans="1:17" ht="12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9"/>
    </row>
    <row r="114" spans="1:17" ht="12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9"/>
    </row>
    <row r="115" spans="1:17" ht="12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9"/>
    </row>
    <row r="116" spans="1:17" ht="12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9"/>
    </row>
    <row r="117" spans="1:17" ht="12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</row>
    <row r="118" spans="1:17" ht="12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9"/>
    </row>
    <row r="119" spans="1:17" ht="12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9"/>
    </row>
    <row r="120" spans="1:17" ht="12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9"/>
    </row>
    <row r="121" spans="1:17" ht="12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9"/>
    </row>
    <row r="122" spans="1:17" ht="12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9"/>
    </row>
    <row r="123" spans="1:17" ht="12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9"/>
    </row>
    <row r="124" spans="1:17" ht="12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9"/>
    </row>
    <row r="125" spans="1:17" ht="12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9"/>
    </row>
    <row r="126" spans="1:17" ht="12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9"/>
    </row>
    <row r="127" spans="1:17" ht="12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9"/>
    </row>
    <row r="128" spans="1:17" ht="12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9"/>
    </row>
    <row r="129" spans="1:17" ht="12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9"/>
    </row>
    <row r="130" spans="1:17" ht="12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9"/>
    </row>
    <row r="131" spans="1:17" ht="12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9"/>
    </row>
    <row r="132" spans="1:17" ht="12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</row>
    <row r="133" spans="1:17" ht="12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</row>
    <row r="134" spans="1:17" ht="12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</row>
    <row r="135" spans="1:17" ht="12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</row>
    <row r="136" spans="1:17" ht="12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</row>
    <row r="137" spans="1:17" ht="12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</row>
    <row r="138" spans="1:17" ht="12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</row>
  </sheetData>
  <mergeCells count="7">
    <mergeCell ref="A39:O39"/>
    <mergeCell ref="A1:G1"/>
    <mergeCell ref="Q1:W1"/>
    <mergeCell ref="I1:O1"/>
    <mergeCell ref="Q10:V10"/>
    <mergeCell ref="Q5:U5"/>
    <mergeCell ref="Q9:U9"/>
  </mergeCells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8"/>
  <sheetViews>
    <sheetView zoomScale="55" zoomScaleNormal="55" workbookViewId="0">
      <selection activeCell="M4" sqref="M4"/>
    </sheetView>
  </sheetViews>
  <sheetFormatPr defaultColWidth="9.125" defaultRowHeight="14.25"/>
  <cols>
    <col min="1" max="11" width="9.125" style="26" customWidth="1"/>
    <col min="12" max="12" width="18.75" style="26" customWidth="1"/>
    <col min="13" max="13" width="35.25" style="26" bestFit="1" customWidth="1"/>
    <col min="14" max="14" width="25.75" style="26" bestFit="1" customWidth="1"/>
    <col min="15" max="15" width="29.5" style="26" bestFit="1" customWidth="1"/>
    <col min="16" max="16" width="30.625" style="26" bestFit="1" customWidth="1"/>
    <col min="17" max="17" width="32.625" style="26" bestFit="1" customWidth="1"/>
    <col min="18" max="18" width="28.25" style="26" bestFit="1" customWidth="1"/>
    <col min="19" max="19" width="30" style="26" bestFit="1" customWidth="1"/>
    <col min="20" max="20" width="9.125" style="26" customWidth="1"/>
    <col min="21" max="16384" width="9.125" style="26"/>
  </cols>
  <sheetData>
    <row r="1" spans="1:19" ht="50.25" customHeight="1">
      <c r="A1" s="98" t="s">
        <v>56</v>
      </c>
      <c r="B1" s="99"/>
      <c r="C1" s="99"/>
      <c r="D1" s="99"/>
      <c r="E1" s="99"/>
      <c r="F1" s="99"/>
      <c r="G1" s="99"/>
      <c r="H1" s="99"/>
      <c r="I1" s="99"/>
      <c r="J1" s="99"/>
      <c r="L1" s="29"/>
      <c r="M1" s="35" t="s">
        <v>91</v>
      </c>
      <c r="N1" s="35" t="s">
        <v>92</v>
      </c>
      <c r="O1" s="35" t="s">
        <v>93</v>
      </c>
      <c r="P1" s="35" t="s">
        <v>94</v>
      </c>
      <c r="Q1" s="35" t="s">
        <v>95</v>
      </c>
      <c r="R1" s="35" t="s">
        <v>96</v>
      </c>
      <c r="S1" s="35" t="s">
        <v>97</v>
      </c>
    </row>
    <row r="2" spans="1:19" ht="15">
      <c r="L2" s="36" t="s">
        <v>98</v>
      </c>
      <c r="M2" s="37" t="s">
        <v>99</v>
      </c>
      <c r="N2" s="38" t="s">
        <v>100</v>
      </c>
      <c r="O2" s="39" t="e">
        <f>M2*N2%</f>
        <v>#VALUE!</v>
      </c>
      <c r="P2" s="38" t="s">
        <v>101</v>
      </c>
      <c r="Q2" s="39" t="e">
        <f>M2*P2%</f>
        <v>#VALUE!</v>
      </c>
      <c r="R2" s="38" t="s">
        <v>102</v>
      </c>
      <c r="S2" s="39" t="e">
        <f>M2*R2%</f>
        <v>#VALUE!</v>
      </c>
    </row>
    <row r="3" spans="1:19" ht="15">
      <c r="L3" s="36" t="s">
        <v>103</v>
      </c>
      <c r="M3" s="39" t="s">
        <v>104</v>
      </c>
      <c r="N3" s="38" t="s">
        <v>105</v>
      </c>
      <c r="O3" s="39" t="e">
        <f>M3*N3%</f>
        <v>#VALUE!</v>
      </c>
      <c r="P3" s="38" t="s">
        <v>106</v>
      </c>
      <c r="Q3" s="39" t="e">
        <f>M3*P3%</f>
        <v>#VALUE!</v>
      </c>
      <c r="R3" s="38" t="s">
        <v>107</v>
      </c>
      <c r="S3" s="39" t="e">
        <f>M3*R3%</f>
        <v>#VALUE!</v>
      </c>
    </row>
    <row r="4" spans="1:19" ht="23.25">
      <c r="L4" s="40" t="s">
        <v>108</v>
      </c>
      <c r="M4" s="41" t="e">
        <f>M3+M2</f>
        <v>#VALUE!</v>
      </c>
      <c r="N4" s="63"/>
      <c r="O4" s="42" t="e">
        <f>O2+O3</f>
        <v>#VALUE!</v>
      </c>
      <c r="P4" s="63"/>
      <c r="Q4" s="42" t="e">
        <f>Q2+Q3</f>
        <v>#VALUE!</v>
      </c>
      <c r="R4" s="63"/>
      <c r="S4" s="42" t="e">
        <f>S2+S3</f>
        <v>#VALUE!</v>
      </c>
    </row>
    <row r="5" spans="1:19" ht="27.95" customHeight="1"/>
    <row r="6" spans="1:19" ht="26.25" customHeight="1"/>
    <row r="7" spans="1:19" ht="26.25" customHeight="1"/>
    <row r="8" spans="1:19" ht="26.1" customHeight="1"/>
  </sheetData>
  <mergeCells count="1">
    <mergeCell ref="A1:J1"/>
  </mergeCells>
  <pageMargins left="0.7" right="0.7" top="0.75" bottom="0.75" header="0.3" footer="0.3"/>
  <headerFooter>
    <oddFooter>&amp;L&amp;"Calibri"&amp;10 &amp;K000000_x000D_# This document is protected as Hyundai Motor's intellectual property under relevant laws and regulations.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8" tint="0.59999389629810485"/>
  </sheetPr>
  <dimension ref="B2:J23"/>
  <sheetViews>
    <sheetView tabSelected="1" zoomScale="85" zoomScaleNormal="85" workbookViewId="0">
      <selection activeCell="F20" sqref="F20"/>
    </sheetView>
  </sheetViews>
  <sheetFormatPr defaultColWidth="10.375" defaultRowHeight="26.25" customHeight="1"/>
  <cols>
    <col min="1" max="1" width="4.5" style="27" bestFit="1" customWidth="1"/>
    <col min="2" max="2" width="8" style="27" bestFit="1" customWidth="1"/>
    <col min="3" max="3" width="12" style="27" bestFit="1" customWidth="1"/>
    <col min="4" max="5" width="18" style="27" customWidth="1"/>
    <col min="6" max="6" width="25" style="27" customWidth="1"/>
    <col min="7" max="7" width="10" style="27" bestFit="1" customWidth="1"/>
    <col min="8" max="8" width="18" style="27" customWidth="1"/>
    <col min="9" max="9" width="16" style="27" customWidth="1"/>
    <col min="10" max="10" width="30" style="27" customWidth="1"/>
    <col min="11" max="11" width="10.375" style="27" customWidth="1"/>
    <col min="12" max="16384" width="10.375" style="27"/>
  </cols>
  <sheetData>
    <row r="2" spans="2:10" ht="30" customHeight="1">
      <c r="B2" s="100" t="s">
        <v>109</v>
      </c>
      <c r="C2" s="101"/>
      <c r="D2" s="101"/>
      <c r="E2" s="101"/>
      <c r="F2" s="101"/>
      <c r="G2" s="101"/>
      <c r="H2" s="101"/>
      <c r="I2" s="101"/>
      <c r="J2" s="102"/>
    </row>
    <row r="3" spans="2:10" s="28" customFormat="1" ht="24" customHeight="1">
      <c r="B3" s="34" t="s">
        <v>110</v>
      </c>
      <c r="C3" s="34" t="s">
        <v>111</v>
      </c>
      <c r="D3" s="34" t="s">
        <v>112</v>
      </c>
      <c r="E3" s="34" t="s">
        <v>113</v>
      </c>
      <c r="F3" s="34" t="s">
        <v>114</v>
      </c>
      <c r="G3" s="34" t="s">
        <v>11</v>
      </c>
      <c r="H3" s="34" t="s">
        <v>115</v>
      </c>
      <c r="I3" s="34" t="s">
        <v>116</v>
      </c>
      <c r="J3" s="34" t="s">
        <v>117</v>
      </c>
    </row>
    <row r="4" spans="2:10" ht="21.95" customHeight="1">
      <c r="B4" s="43" t="s">
        <v>118</v>
      </c>
      <c r="C4" s="43" t="s">
        <v>119</v>
      </c>
      <c r="D4" s="43" t="s">
        <v>120</v>
      </c>
      <c r="E4" s="44" t="s">
        <v>121</v>
      </c>
      <c r="F4" s="43" t="s">
        <v>122</v>
      </c>
      <c r="G4" s="43" t="s">
        <v>123</v>
      </c>
      <c r="H4" s="43" t="s">
        <v>124</v>
      </c>
      <c r="I4" s="43" t="s">
        <v>125</v>
      </c>
      <c r="J4" s="43" t="s">
        <v>126</v>
      </c>
    </row>
    <row r="5" spans="2:10" ht="21.95" customHeight="1">
      <c r="B5" s="43" t="s">
        <v>127</v>
      </c>
      <c r="C5" s="43" t="s">
        <v>119</v>
      </c>
      <c r="D5" s="43" t="s">
        <v>120</v>
      </c>
      <c r="E5" s="44" t="s">
        <v>121</v>
      </c>
      <c r="F5" s="43" t="s">
        <v>122</v>
      </c>
      <c r="G5" s="43" t="s">
        <v>123</v>
      </c>
      <c r="H5" s="43" t="s">
        <v>124</v>
      </c>
      <c r="I5" s="43" t="s">
        <v>125</v>
      </c>
      <c r="J5" s="43" t="s">
        <v>126</v>
      </c>
    </row>
    <row r="6" spans="2:10" ht="21.95" customHeight="1">
      <c r="B6" s="43" t="s">
        <v>128</v>
      </c>
      <c r="C6" s="43" t="s">
        <v>119</v>
      </c>
      <c r="D6" s="43" t="s">
        <v>120</v>
      </c>
      <c r="E6" s="44" t="s">
        <v>121</v>
      </c>
      <c r="F6" s="43" t="s">
        <v>122</v>
      </c>
      <c r="G6" s="43" t="s">
        <v>123</v>
      </c>
      <c r="H6" s="43" t="s">
        <v>124</v>
      </c>
      <c r="I6" s="43" t="s">
        <v>125</v>
      </c>
      <c r="J6" s="43" t="s">
        <v>126</v>
      </c>
    </row>
    <row r="7" spans="2:10" ht="21.95" customHeight="1">
      <c r="B7" s="43" t="s">
        <v>129</v>
      </c>
      <c r="C7" s="43" t="s">
        <v>119</v>
      </c>
      <c r="D7" s="43" t="s">
        <v>120</v>
      </c>
      <c r="E7" s="44" t="s">
        <v>121</v>
      </c>
      <c r="F7" s="43" t="s">
        <v>122</v>
      </c>
      <c r="G7" s="43" t="s">
        <v>123</v>
      </c>
      <c r="H7" s="43" t="s">
        <v>124</v>
      </c>
      <c r="I7" s="43" t="s">
        <v>125</v>
      </c>
      <c r="J7" s="43" t="s">
        <v>126</v>
      </c>
    </row>
    <row r="8" spans="2:10" ht="21.95" customHeight="1">
      <c r="B8" s="43" t="s">
        <v>130</v>
      </c>
      <c r="C8" s="43" t="s">
        <v>119</v>
      </c>
      <c r="D8" s="43" t="s">
        <v>120</v>
      </c>
      <c r="E8" s="44" t="s">
        <v>121</v>
      </c>
      <c r="F8" s="43" t="s">
        <v>122</v>
      </c>
      <c r="G8" s="43" t="s">
        <v>123</v>
      </c>
      <c r="H8" s="43" t="s">
        <v>124</v>
      </c>
      <c r="I8" s="43" t="s">
        <v>125</v>
      </c>
      <c r="J8" s="43" t="s">
        <v>126</v>
      </c>
    </row>
    <row r="9" spans="2:10" ht="21.95" customHeight="1">
      <c r="B9" s="43" t="s">
        <v>131</v>
      </c>
      <c r="C9" s="43" t="s">
        <v>119</v>
      </c>
      <c r="D9" s="43" t="s">
        <v>120</v>
      </c>
      <c r="E9" s="43" t="s">
        <v>121</v>
      </c>
      <c r="F9" s="44" t="s">
        <v>122</v>
      </c>
      <c r="G9" s="43" t="s">
        <v>123</v>
      </c>
      <c r="H9" s="45" t="s">
        <v>124</v>
      </c>
      <c r="I9" s="43" t="s">
        <v>125</v>
      </c>
      <c r="J9" s="43" t="s">
        <v>126</v>
      </c>
    </row>
    <row r="10" spans="2:10" ht="21.95" customHeight="1">
      <c r="B10" s="52" t="s">
        <v>132</v>
      </c>
      <c r="C10" s="52" t="s">
        <v>119</v>
      </c>
      <c r="D10" s="52" t="s">
        <v>120</v>
      </c>
      <c r="E10" s="52" t="s">
        <v>121</v>
      </c>
      <c r="F10" s="64" t="s">
        <v>122</v>
      </c>
      <c r="G10" s="52" t="s">
        <v>123</v>
      </c>
      <c r="H10" s="65" t="s">
        <v>124</v>
      </c>
      <c r="I10" s="52" t="s">
        <v>125</v>
      </c>
      <c r="J10" s="52" t="s">
        <v>126</v>
      </c>
    </row>
    <row r="11" spans="2:10" ht="26.25" customHeight="1">
      <c r="B11" s="43" t="s">
        <v>134</v>
      </c>
      <c r="C11" s="43" t="s">
        <v>119</v>
      </c>
      <c r="D11" s="43" t="s">
        <v>120</v>
      </c>
      <c r="E11" s="44" t="s">
        <v>121</v>
      </c>
      <c r="F11" s="43" t="s">
        <v>122</v>
      </c>
      <c r="G11" s="43" t="s">
        <v>123</v>
      </c>
      <c r="H11" s="43" t="s">
        <v>124</v>
      </c>
      <c r="I11" s="43" t="s">
        <v>125</v>
      </c>
      <c r="J11" s="43" t="s">
        <v>126</v>
      </c>
    </row>
    <row r="12" spans="2:10" ht="26.25" customHeight="1">
      <c r="B12" s="43" t="s">
        <v>136</v>
      </c>
      <c r="C12" s="43" t="s">
        <v>119</v>
      </c>
      <c r="D12" s="43" t="s">
        <v>120</v>
      </c>
      <c r="E12" s="44" t="s">
        <v>121</v>
      </c>
      <c r="F12" s="43" t="s">
        <v>122</v>
      </c>
      <c r="G12" s="43" t="s">
        <v>123</v>
      </c>
      <c r="H12" s="43" t="s">
        <v>124</v>
      </c>
      <c r="I12" s="43" t="s">
        <v>125</v>
      </c>
      <c r="J12" s="43" t="s">
        <v>126</v>
      </c>
    </row>
    <row r="13" spans="2:10" ht="26.25" customHeight="1">
      <c r="B13" s="43" t="s">
        <v>137</v>
      </c>
      <c r="C13" s="43" t="s">
        <v>119</v>
      </c>
      <c r="D13" s="43" t="s">
        <v>120</v>
      </c>
      <c r="E13" s="44" t="s">
        <v>121</v>
      </c>
      <c r="F13" s="43" t="s">
        <v>122</v>
      </c>
      <c r="G13" s="43" t="s">
        <v>123</v>
      </c>
      <c r="H13" s="43" t="s">
        <v>124</v>
      </c>
      <c r="I13" s="43" t="s">
        <v>125</v>
      </c>
      <c r="J13" s="43" t="s">
        <v>126</v>
      </c>
    </row>
    <row r="14" spans="2:10" ht="26.25" customHeight="1">
      <c r="B14" s="43" t="s">
        <v>138</v>
      </c>
      <c r="C14" s="43" t="s">
        <v>119</v>
      </c>
      <c r="D14" s="43" t="s">
        <v>120</v>
      </c>
      <c r="E14" s="44" t="s">
        <v>121</v>
      </c>
      <c r="F14" s="43" t="s">
        <v>122</v>
      </c>
      <c r="G14" s="43" t="s">
        <v>123</v>
      </c>
      <c r="H14" s="43" t="s">
        <v>124</v>
      </c>
      <c r="I14" s="43" t="s">
        <v>125</v>
      </c>
      <c r="J14" s="43" t="s">
        <v>126</v>
      </c>
    </row>
    <row r="15" spans="2:10" ht="26.25" customHeight="1">
      <c r="B15" s="43" t="s">
        <v>139</v>
      </c>
      <c r="C15" s="43" t="s">
        <v>119</v>
      </c>
      <c r="D15" s="43" t="s">
        <v>120</v>
      </c>
      <c r="E15" s="44" t="s">
        <v>121</v>
      </c>
      <c r="F15" s="43" t="s">
        <v>122</v>
      </c>
      <c r="G15" s="43" t="s">
        <v>123</v>
      </c>
      <c r="H15" s="43" t="s">
        <v>124</v>
      </c>
      <c r="I15" s="43" t="s">
        <v>125</v>
      </c>
      <c r="J15" s="43" t="s">
        <v>126</v>
      </c>
    </row>
    <row r="16" spans="2:10" ht="26.25" customHeight="1">
      <c r="B16" s="43" t="s">
        <v>140</v>
      </c>
      <c r="C16" s="43" t="s">
        <v>119</v>
      </c>
      <c r="D16" s="43" t="s">
        <v>120</v>
      </c>
      <c r="E16" s="44" t="s">
        <v>121</v>
      </c>
      <c r="F16" s="43" t="s">
        <v>122</v>
      </c>
      <c r="G16" s="43" t="s">
        <v>123</v>
      </c>
      <c r="H16" s="43" t="s">
        <v>124</v>
      </c>
      <c r="I16" s="43" t="s">
        <v>125</v>
      </c>
      <c r="J16" s="43" t="s">
        <v>126</v>
      </c>
    </row>
    <row r="17" spans="2:10" ht="26.25" customHeight="1">
      <c r="B17" s="43" t="s">
        <v>141</v>
      </c>
      <c r="C17" s="43" t="s">
        <v>119</v>
      </c>
      <c r="D17" s="43" t="s">
        <v>120</v>
      </c>
      <c r="E17" s="44" t="s">
        <v>121</v>
      </c>
      <c r="F17" s="43" t="s">
        <v>122</v>
      </c>
      <c r="G17" s="43" t="s">
        <v>123</v>
      </c>
      <c r="H17" s="43" t="s">
        <v>124</v>
      </c>
      <c r="I17" s="43" t="s">
        <v>125</v>
      </c>
      <c r="J17" s="43" t="s">
        <v>126</v>
      </c>
    </row>
    <row r="18" spans="2:10" ht="26.25" customHeight="1">
      <c r="B18" s="43" t="s">
        <v>142</v>
      </c>
      <c r="C18" s="43" t="s">
        <v>119</v>
      </c>
      <c r="D18" s="43" t="s">
        <v>120</v>
      </c>
      <c r="E18" s="44" t="s">
        <v>121</v>
      </c>
      <c r="F18" s="43" t="s">
        <v>122</v>
      </c>
      <c r="G18" s="43" t="s">
        <v>123</v>
      </c>
      <c r="H18" s="43" t="s">
        <v>124</v>
      </c>
      <c r="I18" s="43" t="s">
        <v>125</v>
      </c>
      <c r="J18" s="43" t="s">
        <v>126</v>
      </c>
    </row>
    <row r="19" spans="2:10" ht="26.25" customHeight="1">
      <c r="B19" s="43" t="s">
        <v>143</v>
      </c>
      <c r="C19" s="43" t="s">
        <v>119</v>
      </c>
      <c r="D19" s="43" t="s">
        <v>120</v>
      </c>
      <c r="E19" s="44" t="s">
        <v>121</v>
      </c>
      <c r="F19" s="43" t="s">
        <v>122</v>
      </c>
      <c r="G19" s="43" t="s">
        <v>123</v>
      </c>
      <c r="H19" s="43" t="s">
        <v>124</v>
      </c>
      <c r="I19" s="43" t="s">
        <v>125</v>
      </c>
      <c r="J19" s="43" t="s">
        <v>126</v>
      </c>
    </row>
    <row r="20" spans="2:10" ht="26.25" customHeight="1">
      <c r="B20" s="43" t="s">
        <v>144</v>
      </c>
      <c r="C20" s="43" t="s">
        <v>119</v>
      </c>
      <c r="D20" s="43" t="s">
        <v>120</v>
      </c>
      <c r="E20" s="44" t="s">
        <v>121</v>
      </c>
      <c r="F20" s="43" t="s">
        <v>122</v>
      </c>
      <c r="G20" s="43" t="s">
        <v>123</v>
      </c>
      <c r="H20" s="43" t="s">
        <v>124</v>
      </c>
      <c r="I20" s="43" t="s">
        <v>125</v>
      </c>
      <c r="J20" s="43" t="s">
        <v>126</v>
      </c>
    </row>
    <row r="21" spans="2:10" ht="26.25" customHeight="1">
      <c r="B21" s="43" t="s">
        <v>145</v>
      </c>
      <c r="C21" s="43" t="s">
        <v>119</v>
      </c>
      <c r="D21" s="43" t="s">
        <v>120</v>
      </c>
      <c r="E21" s="44" t="s">
        <v>121</v>
      </c>
      <c r="F21" s="43" t="s">
        <v>122</v>
      </c>
      <c r="G21" s="43" t="s">
        <v>123</v>
      </c>
      <c r="H21" s="43" t="s">
        <v>124</v>
      </c>
      <c r="I21" s="43" t="s">
        <v>125</v>
      </c>
      <c r="J21" s="43" t="s">
        <v>126</v>
      </c>
    </row>
    <row r="22" spans="2:10" ht="26.25" customHeight="1">
      <c r="B22" s="43" t="s">
        <v>146</v>
      </c>
      <c r="C22" s="43" t="s">
        <v>119</v>
      </c>
      <c r="D22" s="43" t="s">
        <v>120</v>
      </c>
      <c r="E22" s="44" t="s">
        <v>121</v>
      </c>
      <c r="F22" s="43" t="s">
        <v>122</v>
      </c>
      <c r="G22" s="43" t="s">
        <v>123</v>
      </c>
      <c r="H22" s="43" t="s">
        <v>124</v>
      </c>
      <c r="I22" s="43" t="s">
        <v>125</v>
      </c>
      <c r="J22" s="43" t="s">
        <v>126</v>
      </c>
    </row>
    <row r="23" spans="2:10" ht="26.25" customHeight="1">
      <c r="B23" s="43" t="s">
        <v>147</v>
      </c>
      <c r="C23" s="43" t="s">
        <v>119</v>
      </c>
      <c r="D23" s="43" t="s">
        <v>120</v>
      </c>
      <c r="E23" s="44" t="s">
        <v>121</v>
      </c>
      <c r="F23" s="43" t="s">
        <v>122</v>
      </c>
      <c r="G23" s="43" t="s">
        <v>123</v>
      </c>
      <c r="H23" s="43" t="s">
        <v>124</v>
      </c>
      <c r="I23" s="43" t="s">
        <v>125</v>
      </c>
      <c r="J23" s="43" t="s">
        <v>126</v>
      </c>
    </row>
  </sheetData>
  <mergeCells count="1">
    <mergeCell ref="B2:J2"/>
  </mergeCells>
  <pageMargins left="0.7" right="0.7" top="0.75" bottom="0.75" header="0.3" footer="0.3"/>
  <pageSetup paperSize="9" orientation="portrait"/>
  <headerFooter>
    <oddFooter>&amp;L&amp;"Calibri"&amp;10 &amp;K000000_x000D_# This document is protected as Hyundai Motor's intellectual property under relevant laws and regulations.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Battery Data</vt:lpstr>
      <vt:lpstr>PHOTOS</vt:lpstr>
      <vt:lpstr>INVOICE, PWA, REJECTION REPORT</vt:lpstr>
      <vt:lpstr>NDMS Invoice, Sharing % </vt:lpstr>
      <vt:lpstr>Veh 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Mihil Jaco George</dc:creator>
  <cp:lastModifiedBy>Aashish Giri</cp:lastModifiedBy>
  <dcterms:created xsi:type="dcterms:W3CDTF">2025-05-26T10:04:25Z</dcterms:created>
  <dcterms:modified xsi:type="dcterms:W3CDTF">2026-03-12T12:09:14Z</dcterms:modified>
</cp:coreProperties>
</file>